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50" documentId="11_E60897F41BE170836B02CE998F75CCDC64E183C8" xr6:coauthVersionLast="47" xr6:coauthVersionMax="47" xr10:uidLastSave="{4D090760-80DD-4F79-B3BF-403BF261B52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2" i="1" s="1"/>
  <c r="B29" i="1"/>
  <c r="B28" i="1"/>
  <c r="B30" i="1"/>
  <c r="B17" i="1"/>
  <c r="B22" i="1"/>
  <c r="B23" i="1" s="1"/>
  <c r="B13" i="1"/>
  <c r="B5" i="1"/>
  <c r="B15" i="1"/>
  <c r="B10" i="1"/>
  <c r="B6" i="1"/>
</calcChain>
</file>

<file path=xl/sharedStrings.xml><?xml version="1.0" encoding="utf-8"?>
<sst xmlns="http://schemas.openxmlformats.org/spreadsheetml/2006/main" count="55" uniqueCount="53">
  <si>
    <t>variables</t>
  </si>
  <si>
    <t>value</t>
  </si>
  <si>
    <t>descriptions/units</t>
  </si>
  <si>
    <t>diagram keys:</t>
  </si>
  <si>
    <t>input/fixed variables</t>
  </si>
  <si>
    <t>D1</t>
  </si>
  <si>
    <t>cup top diameter[mm]</t>
  </si>
  <si>
    <t>D2</t>
  </si>
  <si>
    <t>cup bottom diameter[mm]</t>
  </si>
  <si>
    <t>H</t>
  </si>
  <si>
    <t>cup height[mm]</t>
  </si>
  <si>
    <t>h</t>
  </si>
  <si>
    <t>liquid height[mm]</t>
  </si>
  <si>
    <t>f</t>
  </si>
  <si>
    <t>freeboard/buffer height[mm]</t>
  </si>
  <si>
    <t>V</t>
  </si>
  <si>
    <t>volume of cup[ml]</t>
  </si>
  <si>
    <t>ds</t>
  </si>
  <si>
    <t>diameter of stir bar[mm]</t>
  </si>
  <si>
    <t>v_tip</t>
  </si>
  <si>
    <t>linear velocity of stir bar tip[m/s]</t>
  </si>
  <si>
    <t>m_c</t>
  </si>
  <si>
    <t>mass of cup[g]</t>
  </si>
  <si>
    <t>m_l</t>
  </si>
  <si>
    <t>mass of liquid[g]</t>
  </si>
  <si>
    <t>tau_f,c</t>
  </si>
  <si>
    <t>friciton toque between base and cup[Nm]</t>
  </si>
  <si>
    <t>N</t>
  </si>
  <si>
    <t>supporting force from base plate[N]</t>
  </si>
  <si>
    <t>tau_motor</t>
  </si>
  <si>
    <t>input torque from motor[Nm]</t>
  </si>
  <si>
    <t>tau_f,m</t>
  </si>
  <si>
    <t>friciton toque from motor beaings or shaft[Nm]</t>
  </si>
  <si>
    <t>tau_drag</t>
  </si>
  <si>
    <t>drag torque from liquid[Nm]</t>
  </si>
  <si>
    <t>n</t>
  </si>
  <si>
    <t>rotational velocity[rpm]</t>
  </si>
  <si>
    <t>w</t>
  </si>
  <si>
    <t>angular velocity[rad/s]</t>
  </si>
  <si>
    <t>P</t>
  </si>
  <si>
    <t>motor power input[W]</t>
  </si>
  <si>
    <t>rho</t>
  </si>
  <si>
    <t>average density of liquid[kg/m3]</t>
  </si>
  <si>
    <t>g</t>
  </si>
  <si>
    <t>gravitational acceleration[m/s2]</t>
  </si>
  <si>
    <t>J_shaft</t>
  </si>
  <si>
    <t>Moment of Inertia [kg*m^2]</t>
  </si>
  <si>
    <t>J_bar</t>
  </si>
  <si>
    <t>J_total</t>
  </si>
  <si>
    <t>a_max</t>
  </si>
  <si>
    <t>maximum angular acceleration[rad/s^2]</t>
  </si>
  <si>
    <t>tau_total</t>
  </si>
  <si>
    <t>torque[Nm]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</si>
</sst>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B31" sqref="B31"/>
    </sheetView>
  </sheetViews>
  <sheetFormatPr defaultRowHeight="15"/>
  <cols>
    <col min="1" max="1" width="12" customWidth="1"/>
    <col min="2" max="2" width="8" customWidth="1"/>
    <col min="6" max="6" width="13.42578125" customWidth="1"/>
    <col min="7" max="7" width="18.140625" customWidth="1"/>
  </cols>
  <sheetData>
    <row r="1" spans="1:7">
      <c r="A1" t="s">
        <v>0</v>
      </c>
      <c r="B1" t="s">
        <v>1</v>
      </c>
      <c r="C1" t="s">
        <v>2</v>
      </c>
      <c r="F1" t="s">
        <v>3</v>
      </c>
      <c r="G1" s="2" t="s">
        <v>4</v>
      </c>
    </row>
    <row r="2" spans="1:7">
      <c r="A2" s="2" t="s">
        <v>5</v>
      </c>
      <c r="B2" s="2">
        <v>90</v>
      </c>
      <c r="C2" t="s">
        <v>6</v>
      </c>
    </row>
    <row r="3" spans="1:7">
      <c r="A3" s="2" t="s">
        <v>7</v>
      </c>
      <c r="B3" s="2">
        <v>60</v>
      </c>
      <c r="C3" t="s">
        <v>8</v>
      </c>
    </row>
    <row r="4" spans="1:7">
      <c r="A4" s="2" t="s">
        <v>9</v>
      </c>
      <c r="B4" s="2">
        <v>133</v>
      </c>
      <c r="C4" t="s">
        <v>10</v>
      </c>
    </row>
    <row r="5" spans="1:7">
      <c r="A5" s="2" t="s">
        <v>11</v>
      </c>
      <c r="B5" s="2">
        <f>103</f>
        <v>103</v>
      </c>
      <c r="C5" t="s">
        <v>12</v>
      </c>
    </row>
    <row r="6" spans="1:7">
      <c r="A6" t="s">
        <v>13</v>
      </c>
      <c r="B6">
        <f>B4-B5</f>
        <v>30</v>
      </c>
      <c r="C6" t="s">
        <v>14</v>
      </c>
    </row>
    <row r="7" spans="1:7">
      <c r="A7" s="2" t="s">
        <v>15</v>
      </c>
      <c r="B7" s="2">
        <v>473</v>
      </c>
      <c r="C7" t="s">
        <v>16</v>
      </c>
    </row>
    <row r="9" spans="1:7">
      <c r="A9" s="2" t="s">
        <v>17</v>
      </c>
      <c r="B9" s="2">
        <v>20</v>
      </c>
      <c r="C9" t="s">
        <v>18</v>
      </c>
    </row>
    <row r="10" spans="1:7">
      <c r="A10" t="s">
        <v>19</v>
      </c>
      <c r="B10">
        <f>B9/2*B22</f>
        <v>314.15926535897933</v>
      </c>
      <c r="C10" t="s">
        <v>20</v>
      </c>
    </row>
    <row r="12" spans="1:7">
      <c r="A12" s="2" t="s">
        <v>21</v>
      </c>
      <c r="B12" s="2">
        <v>20</v>
      </c>
      <c r="C12" t="s">
        <v>22</v>
      </c>
    </row>
    <row r="13" spans="1:7">
      <c r="A13" s="2" t="s">
        <v>23</v>
      </c>
      <c r="B13" s="2">
        <f>B25*B7/1000</f>
        <v>496.65</v>
      </c>
      <c r="C13" t="s">
        <v>24</v>
      </c>
    </row>
    <row r="14" spans="1:7">
      <c r="A14" s="1" t="s">
        <v>25</v>
      </c>
      <c r="C14" t="s">
        <v>26</v>
      </c>
    </row>
    <row r="15" spans="1:7">
      <c r="A15" t="s">
        <v>27</v>
      </c>
      <c r="B15">
        <f>(B12+B13)*B26</f>
        <v>5068.3365000000003</v>
      </c>
      <c r="C15" t="s">
        <v>28</v>
      </c>
    </row>
    <row r="17" spans="1:3">
      <c r="A17" t="s">
        <v>29</v>
      </c>
      <c r="B17">
        <f>B18+B19</f>
        <v>1.0286E-2</v>
      </c>
      <c r="C17" t="s">
        <v>30</v>
      </c>
    </row>
    <row r="18" spans="1:3">
      <c r="A18" t="s">
        <v>31</v>
      </c>
      <c r="B18">
        <v>0.01</v>
      </c>
      <c r="C18" t="s">
        <v>32</v>
      </c>
    </row>
    <row r="19" spans="1:3">
      <c r="A19" t="s">
        <v>33</v>
      </c>
      <c r="B19">
        <v>2.8600000000000001E-4</v>
      </c>
      <c r="C19" t="s">
        <v>34</v>
      </c>
    </row>
    <row r="21" spans="1:3">
      <c r="A21" s="2" t="s">
        <v>35</v>
      </c>
      <c r="B21" s="2">
        <v>300</v>
      </c>
      <c r="C21" t="s">
        <v>36</v>
      </c>
    </row>
    <row r="22" spans="1:3">
      <c r="A22" t="s">
        <v>37</v>
      </c>
      <c r="B22">
        <f>2*B21*PI()/60</f>
        <v>31.415926535897931</v>
      </c>
      <c r="C22" t="s">
        <v>38</v>
      </c>
    </row>
    <row r="23" spans="1:3">
      <c r="A23" t="s">
        <v>39</v>
      </c>
      <c r="B23">
        <f>2*B17*B22</f>
        <v>0.64628844069649227</v>
      </c>
      <c r="C23" t="s">
        <v>40</v>
      </c>
    </row>
    <row r="25" spans="1:3">
      <c r="A25" s="2" t="s">
        <v>41</v>
      </c>
      <c r="B25" s="2">
        <v>1050</v>
      </c>
      <c r="C25" t="s">
        <v>42</v>
      </c>
    </row>
    <row r="26" spans="1:3">
      <c r="A26" s="2" t="s">
        <v>43</v>
      </c>
      <c r="B26" s="2">
        <v>9.81</v>
      </c>
      <c r="C26" t="s">
        <v>44</v>
      </c>
    </row>
    <row r="28" spans="1:3">
      <c r="A28" t="s">
        <v>45</v>
      </c>
      <c r="B28">
        <f>5*0.000000001</f>
        <v>5.0000000000000001E-9</v>
      </c>
      <c r="C28" t="s">
        <v>46</v>
      </c>
    </row>
    <row r="29" spans="1:3">
      <c r="A29" t="s">
        <v>47</v>
      </c>
      <c r="B29">
        <f>1.5*0.0000001</f>
        <v>1.4999999999999999E-7</v>
      </c>
      <c r="C29" t="s">
        <v>46</v>
      </c>
    </row>
    <row r="30" spans="1:3">
      <c r="A30" t="s">
        <v>48</v>
      </c>
      <c r="B30">
        <f>B28+B29</f>
        <v>1.55E-7</v>
      </c>
      <c r="C30" t="s">
        <v>46</v>
      </c>
    </row>
    <row r="31" spans="1:3">
      <c r="A31" t="s">
        <v>49</v>
      </c>
      <c r="B31">
        <f>2*PI()*B21/120</f>
        <v>15.707963267948966</v>
      </c>
      <c r="C31" t="s">
        <v>50</v>
      </c>
    </row>
    <row r="32" spans="1:3">
      <c r="A32" t="s">
        <v>51</v>
      </c>
      <c r="B32">
        <f>2*(B19+B18+B30*B31)</f>
        <v>2.0576869468613063E-2</v>
      </c>
      <c r="C3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Anna</cp:lastModifiedBy>
  <cp:revision/>
  <dcterms:created xsi:type="dcterms:W3CDTF">2026-02-25T03:43:54Z</dcterms:created>
  <dcterms:modified xsi:type="dcterms:W3CDTF">2026-03-04T21:02:25Z</dcterms:modified>
  <cp:category/>
  <cp:contentStatus/>
</cp:coreProperties>
</file>