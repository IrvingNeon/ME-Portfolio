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aeh103_pitt_edu/Documents/"/>
    </mc:Choice>
  </mc:AlternateContent>
  <xr:revisionPtr revIDLastSave="148" documentId="8_{8D6E97D8-5D70-4107-85AB-CEA555D34E38}" xr6:coauthVersionLast="47" xr6:coauthVersionMax="47" xr10:uidLastSave="{DA6A79F3-3898-48AF-B3C0-51D8E92C07B9}"/>
  <bookViews>
    <workbookView xWindow="-120" yWindow="-120" windowWidth="29040" windowHeight="15720" xr2:uid="{76526C79-84C8-4554-A847-BF81AE6C8F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S3" i="1"/>
  <c r="R3" i="1"/>
  <c r="Q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3" i="1"/>
  <c r="O4" i="1"/>
  <c r="O5" i="1"/>
  <c r="O6" i="1"/>
  <c r="O7" i="1"/>
  <c r="O8" i="1"/>
  <c r="O9" i="1"/>
  <c r="O10" i="1"/>
  <c r="O11" i="1"/>
  <c r="O12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2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2" i="1"/>
  <c r="F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2" i="1"/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<sst xmlns="http://schemas.openxmlformats.org/spreadsheetml/2006/main" count="163" uniqueCount="160">
  <si>
    <t>Time (s)</t>
  </si>
  <si>
    <t>Time from start</t>
  </si>
  <si>
    <t>T_s</t>
  </si>
  <si>
    <t>T_inf</t>
  </si>
  <si>
    <t>delta_T</t>
  </si>
  <si>
    <t>Flux (W/m^2)</t>
  </si>
  <si>
    <t>Temperature ©</t>
  </si>
  <si>
    <t>h (W/(m^2 K)</t>
  </si>
  <si>
    <t>18:00:22.860 -&gt; 45.00 24.16</t>
  </si>
  <si>
    <t>Mean Ts  (degrees C)</t>
  </si>
  <si>
    <t>Mean  T∞ (degrees C)</t>
  </si>
  <si>
    <t>Mean delta T (degrees C)</t>
  </si>
  <si>
    <t>Mean Flux (W/m^2)</t>
  </si>
  <si>
    <t>Mean h (W/(m^2 K))</t>
  </si>
  <si>
    <t>18:00:23.269 -&gt; 45.00 24.16</t>
  </si>
  <si>
    <t>18:00:23.731 -&gt; 45.00 24.16</t>
  </si>
  <si>
    <t>18:00:24.136 -&gt; 45.00 24.16</t>
  </si>
  <si>
    <t>18:00:24.526 -&gt; 45.00 24.16</t>
  </si>
  <si>
    <t>18:00:24.930 -&gt; 45.00 24.16</t>
  </si>
  <si>
    <t>18:00:25.367 -&gt; 45.00 24.20</t>
  </si>
  <si>
    <t>18:00:25.732 -&gt; 45.00 24.16</t>
  </si>
  <si>
    <t>18:00:26.144 -&gt; 45.00 24.16</t>
  </si>
  <si>
    <t>18:00:26.554 -&gt; 45.00 24.16</t>
  </si>
  <si>
    <t>18:00:26.999 -&gt; 45.00 24.16</t>
  </si>
  <si>
    <t>18:00:27.404 -&gt; 45.00 24.20</t>
  </si>
  <si>
    <t>18:00:27.785 -&gt; 45.00 24.16</t>
  </si>
  <si>
    <t>18:00:28.195 -&gt; 45.00 24.20</t>
  </si>
  <si>
    <t>18:00:28.632 -&gt; 44.75 24.20</t>
  </si>
  <si>
    <t>18:00:29.014 -&gt; 44.75 24.16</t>
  </si>
  <si>
    <t>18:00:29.423 -&gt; 44.75 24.16</t>
  </si>
  <si>
    <t>18:00:29.880 -&gt; 45.00 24.20</t>
  </si>
  <si>
    <t>18:00:30.247 -&gt; 44.75 24.20</t>
  </si>
  <si>
    <t>18:00:30.656 -&gt; 44.75 24.20</t>
  </si>
  <si>
    <t>18:00:31.109 -&gt; 45.00 24.20</t>
  </si>
  <si>
    <t>18:00:31.474 -&gt; 45.00 24.16</t>
  </si>
  <si>
    <t>18:00:31.920 -&gt; 45.00 24.20</t>
  </si>
  <si>
    <t>18:00:32.325 -&gt; 45.00 24.20</t>
  </si>
  <si>
    <t>18:00:32.732 -&gt; 45.00 24.20</t>
  </si>
  <si>
    <t>18:00:33.117 -&gt; 45.00 24.20</t>
  </si>
  <si>
    <t>18:00:33.559 -&gt; 45.00 24.16</t>
  </si>
  <si>
    <t>18:00:33.963 -&gt; 45.00 24.20</t>
  </si>
  <si>
    <t>18:00:34.368 -&gt; 45.00 24.20</t>
  </si>
  <si>
    <t>18:00:34.788 -&gt; 45.00 24.16</t>
  </si>
  <si>
    <t>18:00:35.207 -&gt; 45.00 24.16</t>
  </si>
  <si>
    <t>18:00:35.578 -&gt; 45.00 24.20</t>
  </si>
  <si>
    <t>18:00:36.016 -&gt; 45.00 24.20</t>
  </si>
  <si>
    <t>18:00:36.422 -&gt; 45.00 24.16</t>
  </si>
  <si>
    <t>18:00:36.843 -&gt; 45.00 24.20</t>
  </si>
  <si>
    <t>18:00:37.248 -&gt; 45.00 24.16</t>
  </si>
  <si>
    <t>18:00:37.668 -&gt; 45.00 24.16</t>
  </si>
  <si>
    <t>18:00:38.041 -&gt; 45.00 24.20</t>
  </si>
  <si>
    <t>18:00:38.480 -&gt; 45.00 24.16</t>
  </si>
  <si>
    <t>18:00:38.901 -&gt; 45.00 24.20</t>
  </si>
  <si>
    <t>18:00:39.270 -&gt; 45.00 24.16</t>
  </si>
  <si>
    <t>18:00:39.679 -&gt; 45.00 24.16</t>
  </si>
  <si>
    <t>18:00:40.093 -&gt; 45.00 24.16</t>
  </si>
  <si>
    <t>18:00:40.537 -&gt; 44.75 24.20</t>
  </si>
  <si>
    <t>18:00:40.942 -&gt; 45.00 24.20</t>
  </si>
  <si>
    <t>18:00:41.347 -&gt; 44.75 24.20</t>
  </si>
  <si>
    <t>18:00:41.752 -&gt; 45.00 24.20</t>
  </si>
  <si>
    <t>18:00:42.173 -&gt; 45.00 24.20</t>
  </si>
  <si>
    <t>18:00:42.578 -&gt; 45.00 24.16</t>
  </si>
  <si>
    <t>18:00:43.000 -&gt; 45.00 24.16</t>
  </si>
  <si>
    <t>18:00:43.374 -&gt; 44.75 24.16</t>
  </si>
  <si>
    <t>18:00:43.808 -&gt; 45.00 24.20</t>
  </si>
  <si>
    <t>18:00:44.228 -&gt; 45.00 24.16</t>
  </si>
  <si>
    <t>18:00:44.647 -&gt; 44.75 24.16</t>
  </si>
  <si>
    <t>18:00:45.012 -&gt; 44.75 24.20</t>
  </si>
  <si>
    <t>18:00:45.442 -&gt; 45.00 24.16</t>
  </si>
  <si>
    <t>18:00:45.864 -&gt; 44.75 24.16</t>
  </si>
  <si>
    <t>18:00:46.284 -&gt; 44.75 24.20</t>
  </si>
  <si>
    <t>18:00:46.655 -&gt; 44.75 24.20</t>
  </si>
  <si>
    <t>18:00:47.079 -&gt; 44.75 24.16</t>
  </si>
  <si>
    <t>18:00:47.473 -&gt; 44.75 24.16</t>
  </si>
  <si>
    <t>18:00:47.887 -&gt; 44.75 24.16</t>
  </si>
  <si>
    <t>18:00:48.337 -&gt; 44.75 24.16</t>
  </si>
  <si>
    <t>18:00:48.727 -&gt; 44.75 24.16</t>
  </si>
  <si>
    <t>18:00:49.132 -&gt; 44.75 24.16</t>
  </si>
  <si>
    <t>18:00:49.526 -&gt; 44.75 24.16</t>
  </si>
  <si>
    <t>18:00:49.974 -&gt; 44.75 24.20</t>
  </si>
  <si>
    <t>18:00:50.345 -&gt; 45.00 24.16</t>
  </si>
  <si>
    <t>18:00:50.758 -&gt; 44.75 24.16</t>
  </si>
  <si>
    <t>18:00:51.168 -&gt; 45.00 24.16</t>
  </si>
  <si>
    <t>18:00:51.577 -&gt; 45.00 24.16</t>
  </si>
  <si>
    <t>18:00:52.016 -&gt; 45.00 24.16</t>
  </si>
  <si>
    <t>18:00:52.422 -&gt; 44.75 24.16</t>
  </si>
  <si>
    <t>18:00:52.840 -&gt; 45.00 24.20</t>
  </si>
  <si>
    <t>18:00:53.246 -&gt; 45.00 24.20</t>
  </si>
  <si>
    <t>18:00:53.652 -&gt; 45.00 24.16</t>
  </si>
  <si>
    <t>18:00:54.074 -&gt; 45.00 24.16</t>
  </si>
  <si>
    <t>18:00:54.493 -&gt; 45.00 24.13</t>
  </si>
  <si>
    <t>18:00:54.900 -&gt; 45.00 24.20</t>
  </si>
  <si>
    <t>18:00:55.290 -&gt; 44.75 24.16</t>
  </si>
  <si>
    <t>18:00:55.710 -&gt; 44.75 24.16</t>
  </si>
  <si>
    <t>18:00:56.132 -&gt; 45.00 24.16</t>
  </si>
  <si>
    <t>18:00:56.500 -&gt; 45.00 24.16</t>
  </si>
  <si>
    <t>18:00:56.956 -&gt; 45.00 24.16</t>
  </si>
  <si>
    <t>18:00:57.320 -&gt; 44.75 24.16</t>
  </si>
  <si>
    <t>18:00:57.729 -&gt; 45.00 24.16</t>
  </si>
  <si>
    <t>18:00:58.139 -&gt; 44.75 24.16</t>
  </si>
  <si>
    <t>18:00:58.576 -&gt; 44.75 24.16</t>
  </si>
  <si>
    <t>18:00:58.983 -&gt; 44.75 24.16</t>
  </si>
  <si>
    <t>18:00:59.372 -&gt; 44.75 24.16</t>
  </si>
  <si>
    <t>18:00:59.826 -&gt; 44.75 24.16</t>
  </si>
  <si>
    <t>18:01:00.191 -&gt; 44.75 24.13</t>
  </si>
  <si>
    <t>18:01:00.600 -&gt; 44.75 24.16</t>
  </si>
  <si>
    <t>18:01:01.039 -&gt; 44.75 24.13</t>
  </si>
  <si>
    <t>18:01:01.446 -&gt; 44.75 24.13</t>
  </si>
  <si>
    <t>18:01:01.864 -&gt; 44.75 24.16</t>
  </si>
  <si>
    <t>18:01:02.283 -&gt; 44.75 24.16</t>
  </si>
  <si>
    <t>18:01:02.652 -&gt; 44.75 24.13</t>
  </si>
  <si>
    <t>18:01:03.061 -&gt; 44.75 24.13</t>
  </si>
  <si>
    <t>18:01:03.515 -&gt; 44.75 24.16</t>
  </si>
  <si>
    <t>18:01:03.880 -&gt; 44.50 24.16</t>
  </si>
  <si>
    <t>18:01:04.326 -&gt; 44.50 24.16</t>
  </si>
  <si>
    <t>18:01:04.747 -&gt; 44.75 24.13</t>
  </si>
  <si>
    <t>18:01:05.152 -&gt; 44.50 24.13</t>
  </si>
  <si>
    <t>18:01:05.524 -&gt; 44.50 24.13</t>
  </si>
  <si>
    <t>18:01:05.977 -&gt; 44.50 24.13</t>
  </si>
  <si>
    <t>18:01:06.343 -&gt; 44.50 24.10</t>
  </si>
  <si>
    <t>18:01:06.752 -&gt; 44.50 24.16</t>
  </si>
  <si>
    <t>18:01:07.192 -&gt; 44.50 24.16</t>
  </si>
  <si>
    <t>18:01:07.612 -&gt; 44.50 24.13</t>
  </si>
  <si>
    <t>18:01:07.985 -&gt; 44.25 24.10</t>
  </si>
  <si>
    <t>18:01:08.437 -&gt; 44.50 24.13</t>
  </si>
  <si>
    <t>18:01:08.842 -&gt; 44.25 24.13</t>
  </si>
  <si>
    <t>18:01:09.247 -&gt; 44.25 24.13</t>
  </si>
  <si>
    <t>18:01:09.667 -&gt; 44.50 24.13</t>
  </si>
  <si>
    <t>18:01:10.036 -&gt; 44.50 24.10</t>
  </si>
  <si>
    <t>18:01:10.476 -&gt; 44.50 24.13</t>
  </si>
  <si>
    <t>18:01:10.894 -&gt; 44.50 24.13</t>
  </si>
  <si>
    <t>18:01:11.300 -&gt; 44.50 24.13</t>
  </si>
  <si>
    <t>18:01:11.704 -&gt; 44.50 24.13</t>
  </si>
  <si>
    <t>18:01:12.125 -&gt; 44.50 24.13</t>
  </si>
  <si>
    <t>18:01:12.498 -&gt; 44.50 24.13</t>
  </si>
  <si>
    <t>18:01:12.950 -&gt; 44.50 24.13</t>
  </si>
  <si>
    <t>18:01:13.338 -&gt; 44.50 24.13</t>
  </si>
  <si>
    <t>18:01:13.745 -&gt; 44.50 24.10</t>
  </si>
  <si>
    <t>18:01:14.165 -&gt; 44.50 24.13</t>
  </si>
  <si>
    <t>18:01:14.568 -&gt; 44.50 24.13</t>
  </si>
  <si>
    <t>18:01:14.960 -&gt; 44.50 24.10</t>
  </si>
  <si>
    <t>18:01:15.369 -&gt; 44.75 24.13</t>
  </si>
  <si>
    <t>18:01:15.812 -&gt; 44.50 24.13</t>
  </si>
  <si>
    <t>18:01:16.218 -&gt; 44.50 24.13</t>
  </si>
  <si>
    <t>18:01:16.643 -&gt; 44.75 24.13</t>
  </si>
  <si>
    <t>18:01:17.049 -&gt; 44.50 24.13</t>
  </si>
  <si>
    <t>18:01:17.454 -&gt; 44.50 24.13</t>
  </si>
  <si>
    <t>18:01:17.875 -&gt; 44.50 24.13</t>
  </si>
  <si>
    <t>18:01:18.280 -&gt; 44.50 24.13</t>
  </si>
  <si>
    <t>18:01:18.651 -&gt; 44.50 24.13</t>
  </si>
  <si>
    <t>18:01:19.079 -&gt; 44.50 24.13</t>
  </si>
  <si>
    <t>18:01:19.498 -&gt; 44.50 24.10</t>
  </si>
  <si>
    <t>18:01:19.919 -&gt; 44.25 24.13</t>
  </si>
  <si>
    <t>18:01:20.295 -&gt; 44.25 24.13</t>
  </si>
  <si>
    <t>18:01:20.734 -&gt; 44.50 24.13</t>
  </si>
  <si>
    <t>18:01:21.152 -&gt; 44.50 24.16</t>
  </si>
  <si>
    <t>18:01:21.557 -&gt; 44.50 24.13</t>
  </si>
  <si>
    <t>18:01:21.963 -&gt; 44.50 24.13</t>
  </si>
  <si>
    <t>18:01:22.369 -&gt; 44.50 24.13</t>
  </si>
  <si>
    <t>18:01:22.541 -&gt; END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</si>
</sst>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4E5B6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Sheet1!G1</c:f>
              <c:strCache>
                <c:ptCount val="1"/>
                <c:pt idx="0">
                  <c:v>T_s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Sheet1!$F$2:$F$147</c:f>
              <c:numCache>
                <c:formatCode>General</c:formatCode>
                <c:ptCount val="146"/>
                <c:pt idx="0">
                  <c:v>0</c:v>
                </c:pt>
                <c:pt idx="1">
                  <c:v>0.40899999999999892</c:v>
                </c:pt>
                <c:pt idx="2">
                  <c:v>0.87100000000000222</c:v>
                </c:pt>
                <c:pt idx="3">
                  <c:v>1.2759999999999998</c:v>
                </c:pt>
                <c:pt idx="4">
                  <c:v>1.6660000000000004</c:v>
                </c:pt>
                <c:pt idx="5">
                  <c:v>2.0700000000000003</c:v>
                </c:pt>
                <c:pt idx="6">
                  <c:v>2.5070000000000014</c:v>
                </c:pt>
                <c:pt idx="7">
                  <c:v>2.8719999999999999</c:v>
                </c:pt>
                <c:pt idx="8">
                  <c:v>3.2839999999999989</c:v>
                </c:pt>
                <c:pt idx="9">
                  <c:v>3.6939999999999991</c:v>
                </c:pt>
                <c:pt idx="10">
                  <c:v>4.1389999999999993</c:v>
                </c:pt>
                <c:pt idx="11">
                  <c:v>4.5440000000000005</c:v>
                </c:pt>
                <c:pt idx="12">
                  <c:v>4.9250000000000007</c:v>
                </c:pt>
                <c:pt idx="13">
                  <c:v>5.3350000000000009</c:v>
                </c:pt>
                <c:pt idx="14">
                  <c:v>5.772000000000002</c:v>
                </c:pt>
                <c:pt idx="15">
                  <c:v>6.1539999999999999</c:v>
                </c:pt>
                <c:pt idx="16">
                  <c:v>6.5629999999999988</c:v>
                </c:pt>
                <c:pt idx="17">
                  <c:v>7.02</c:v>
                </c:pt>
                <c:pt idx="18">
                  <c:v>7.3870000000000005</c:v>
                </c:pt>
                <c:pt idx="19">
                  <c:v>7.7959999999999994</c:v>
                </c:pt>
                <c:pt idx="20">
                  <c:v>8.2490000000000023</c:v>
                </c:pt>
                <c:pt idx="21">
                  <c:v>8.6140000000000008</c:v>
                </c:pt>
                <c:pt idx="22">
                  <c:v>9.0600000000000023</c:v>
                </c:pt>
                <c:pt idx="23">
                  <c:v>9.4650000000000034</c:v>
                </c:pt>
                <c:pt idx="24">
                  <c:v>9.8719999999999999</c:v>
                </c:pt>
                <c:pt idx="25">
                  <c:v>10.256999999999998</c:v>
                </c:pt>
                <c:pt idx="26">
                  <c:v>10.698999999999998</c:v>
                </c:pt>
                <c:pt idx="27">
                  <c:v>11.103000000000002</c:v>
                </c:pt>
                <c:pt idx="28">
                  <c:v>11.508000000000003</c:v>
                </c:pt>
                <c:pt idx="29">
                  <c:v>11.927999999999997</c:v>
                </c:pt>
                <c:pt idx="30">
                  <c:v>12.347000000000001</c:v>
                </c:pt>
                <c:pt idx="31">
                  <c:v>12.718000000000004</c:v>
                </c:pt>
                <c:pt idx="32">
                  <c:v>13.155999999999999</c:v>
                </c:pt>
                <c:pt idx="33">
                  <c:v>13.561999999999998</c:v>
                </c:pt>
                <c:pt idx="34">
                  <c:v>13.983000000000004</c:v>
                </c:pt>
                <c:pt idx="35">
                  <c:v>14.387999999999998</c:v>
                </c:pt>
                <c:pt idx="36">
                  <c:v>14.808</c:v>
                </c:pt>
                <c:pt idx="37">
                  <c:v>15.180999999999997</c:v>
                </c:pt>
                <c:pt idx="38">
                  <c:v>15.619999999999997</c:v>
                </c:pt>
                <c:pt idx="39">
                  <c:v>16.041000000000004</c:v>
                </c:pt>
                <c:pt idx="40">
                  <c:v>16.410000000000004</c:v>
                </c:pt>
                <c:pt idx="41">
                  <c:v>16.819000000000003</c:v>
                </c:pt>
                <c:pt idx="42">
                  <c:v>17.233000000000004</c:v>
                </c:pt>
                <c:pt idx="43">
                  <c:v>17.677</c:v>
                </c:pt>
                <c:pt idx="44">
                  <c:v>18.082000000000001</c:v>
                </c:pt>
                <c:pt idx="45">
                  <c:v>18.487000000000002</c:v>
                </c:pt>
                <c:pt idx="46">
                  <c:v>18.892000000000003</c:v>
                </c:pt>
                <c:pt idx="47">
                  <c:v>19.313000000000002</c:v>
                </c:pt>
                <c:pt idx="48">
                  <c:v>19.718000000000004</c:v>
                </c:pt>
                <c:pt idx="49">
                  <c:v>20.14</c:v>
                </c:pt>
                <c:pt idx="50">
                  <c:v>20.514000000000003</c:v>
                </c:pt>
                <c:pt idx="51">
                  <c:v>20.948</c:v>
                </c:pt>
                <c:pt idx="52">
                  <c:v>21.368000000000002</c:v>
                </c:pt>
                <c:pt idx="53">
                  <c:v>21.786999999999999</c:v>
                </c:pt>
                <c:pt idx="54">
                  <c:v>22.152000000000001</c:v>
                </c:pt>
                <c:pt idx="55">
                  <c:v>22.582000000000001</c:v>
                </c:pt>
                <c:pt idx="56">
                  <c:v>23.003999999999998</c:v>
                </c:pt>
                <c:pt idx="57">
                  <c:v>23.423999999999999</c:v>
                </c:pt>
                <c:pt idx="58">
                  <c:v>23.795000000000002</c:v>
                </c:pt>
                <c:pt idx="59">
                  <c:v>24.219000000000001</c:v>
                </c:pt>
                <c:pt idx="60">
                  <c:v>24.613</c:v>
                </c:pt>
                <c:pt idx="61">
                  <c:v>25.027000000000001</c:v>
                </c:pt>
                <c:pt idx="62">
                  <c:v>25.477000000000004</c:v>
                </c:pt>
                <c:pt idx="63">
                  <c:v>25.866999999999997</c:v>
                </c:pt>
                <c:pt idx="64">
                  <c:v>26.271999999999998</c:v>
                </c:pt>
                <c:pt idx="65">
                  <c:v>26.666000000000004</c:v>
                </c:pt>
                <c:pt idx="66">
                  <c:v>27.113999999999997</c:v>
                </c:pt>
                <c:pt idx="67">
                  <c:v>27.484999999999999</c:v>
                </c:pt>
                <c:pt idx="68">
                  <c:v>27.898000000000003</c:v>
                </c:pt>
                <c:pt idx="69">
                  <c:v>28.308</c:v>
                </c:pt>
                <c:pt idx="70">
                  <c:v>28.716999999999999</c:v>
                </c:pt>
                <c:pt idx="71">
                  <c:v>29.155999999999999</c:v>
                </c:pt>
                <c:pt idx="72">
                  <c:v>29.561999999999998</c:v>
                </c:pt>
                <c:pt idx="73">
                  <c:v>29.980000000000004</c:v>
                </c:pt>
                <c:pt idx="74">
                  <c:v>30.386000000000003</c:v>
                </c:pt>
                <c:pt idx="75">
                  <c:v>30.792000000000002</c:v>
                </c:pt>
                <c:pt idx="76">
                  <c:v>31.213999999999999</c:v>
                </c:pt>
                <c:pt idx="77">
                  <c:v>31.633000000000003</c:v>
                </c:pt>
                <c:pt idx="78">
                  <c:v>32.04</c:v>
                </c:pt>
                <c:pt idx="79">
                  <c:v>32.43</c:v>
                </c:pt>
                <c:pt idx="80">
                  <c:v>32.85</c:v>
                </c:pt>
                <c:pt idx="81">
                  <c:v>33.271999999999998</c:v>
                </c:pt>
                <c:pt idx="82">
                  <c:v>33.64</c:v>
                </c:pt>
                <c:pt idx="83">
                  <c:v>34.096000000000004</c:v>
                </c:pt>
                <c:pt idx="84">
                  <c:v>34.46</c:v>
                </c:pt>
                <c:pt idx="85">
                  <c:v>34.869</c:v>
                </c:pt>
                <c:pt idx="86">
                  <c:v>35.279000000000003</c:v>
                </c:pt>
                <c:pt idx="87">
                  <c:v>35.716000000000001</c:v>
                </c:pt>
                <c:pt idx="88">
                  <c:v>36.122999999999998</c:v>
                </c:pt>
                <c:pt idx="89">
                  <c:v>36.512</c:v>
                </c:pt>
                <c:pt idx="90">
                  <c:v>36.966000000000001</c:v>
                </c:pt>
                <c:pt idx="91">
                  <c:v>37.331000000000003</c:v>
                </c:pt>
                <c:pt idx="92">
                  <c:v>37.74</c:v>
                </c:pt>
                <c:pt idx="93">
                  <c:v>38.179000000000002</c:v>
                </c:pt>
                <c:pt idx="94">
                  <c:v>38.585999999999999</c:v>
                </c:pt>
                <c:pt idx="95">
                  <c:v>39.003999999999998</c:v>
                </c:pt>
                <c:pt idx="96">
                  <c:v>39.423000000000002</c:v>
                </c:pt>
                <c:pt idx="97">
                  <c:v>39.792000000000002</c:v>
                </c:pt>
                <c:pt idx="98">
                  <c:v>40.201000000000001</c:v>
                </c:pt>
                <c:pt idx="99">
                  <c:v>40.655000000000001</c:v>
                </c:pt>
                <c:pt idx="100">
                  <c:v>41.02</c:v>
                </c:pt>
                <c:pt idx="101">
                  <c:v>41.465999999999994</c:v>
                </c:pt>
                <c:pt idx="102">
                  <c:v>41.887</c:v>
                </c:pt>
                <c:pt idx="103">
                  <c:v>42.292000000000002</c:v>
                </c:pt>
                <c:pt idx="104">
                  <c:v>42.664000000000001</c:v>
                </c:pt>
                <c:pt idx="105">
                  <c:v>43.117000000000004</c:v>
                </c:pt>
                <c:pt idx="106">
                  <c:v>43.483000000000004</c:v>
                </c:pt>
                <c:pt idx="107">
                  <c:v>43.891999999999996</c:v>
                </c:pt>
                <c:pt idx="108">
                  <c:v>44.332000000000008</c:v>
                </c:pt>
                <c:pt idx="109">
                  <c:v>44.751999999999995</c:v>
                </c:pt>
                <c:pt idx="110">
                  <c:v>45.125</c:v>
                </c:pt>
                <c:pt idx="111">
                  <c:v>45.576999999999998</c:v>
                </c:pt>
                <c:pt idx="112">
                  <c:v>45.981999999999999</c:v>
                </c:pt>
                <c:pt idx="113">
                  <c:v>46.387</c:v>
                </c:pt>
                <c:pt idx="114">
                  <c:v>46.807000000000002</c:v>
                </c:pt>
                <c:pt idx="115">
                  <c:v>47.176000000000002</c:v>
                </c:pt>
                <c:pt idx="116">
                  <c:v>47.616</c:v>
                </c:pt>
                <c:pt idx="117">
                  <c:v>48.034000000000006</c:v>
                </c:pt>
                <c:pt idx="118">
                  <c:v>48.44</c:v>
                </c:pt>
                <c:pt idx="119">
                  <c:v>48.844000000000008</c:v>
                </c:pt>
                <c:pt idx="120">
                  <c:v>49.265000000000001</c:v>
                </c:pt>
                <c:pt idx="121">
                  <c:v>49.638000000000005</c:v>
                </c:pt>
                <c:pt idx="122">
                  <c:v>50.09</c:v>
                </c:pt>
                <c:pt idx="123">
                  <c:v>50.477999999999994</c:v>
                </c:pt>
                <c:pt idx="124">
                  <c:v>50.885000000000005</c:v>
                </c:pt>
                <c:pt idx="125">
                  <c:v>51.304999999999993</c:v>
                </c:pt>
                <c:pt idx="126">
                  <c:v>51.707999999999998</c:v>
                </c:pt>
                <c:pt idx="127">
                  <c:v>52.100000000000009</c:v>
                </c:pt>
                <c:pt idx="128">
                  <c:v>52.509</c:v>
                </c:pt>
                <c:pt idx="129">
                  <c:v>52.951999999999998</c:v>
                </c:pt>
                <c:pt idx="130">
                  <c:v>53.358000000000004</c:v>
                </c:pt>
                <c:pt idx="131">
                  <c:v>53.783000000000001</c:v>
                </c:pt>
                <c:pt idx="132">
                  <c:v>54.189000000000007</c:v>
                </c:pt>
                <c:pt idx="133">
                  <c:v>54.594000000000008</c:v>
                </c:pt>
                <c:pt idx="134">
                  <c:v>55.015000000000001</c:v>
                </c:pt>
                <c:pt idx="135">
                  <c:v>55.42</c:v>
                </c:pt>
                <c:pt idx="136">
                  <c:v>55.790999999999997</c:v>
                </c:pt>
                <c:pt idx="137">
                  <c:v>56.219000000000008</c:v>
                </c:pt>
                <c:pt idx="138">
                  <c:v>56.638000000000005</c:v>
                </c:pt>
                <c:pt idx="139">
                  <c:v>57.058999999999997</c:v>
                </c:pt>
                <c:pt idx="140">
                  <c:v>57.435000000000002</c:v>
                </c:pt>
                <c:pt idx="141">
                  <c:v>57.874000000000009</c:v>
                </c:pt>
                <c:pt idx="142">
                  <c:v>58.292000000000002</c:v>
                </c:pt>
                <c:pt idx="143">
                  <c:v>58.697000000000003</c:v>
                </c:pt>
                <c:pt idx="144">
                  <c:v>59.102999999999994</c:v>
                </c:pt>
                <c:pt idx="145">
                  <c:v>59.509</c:v>
                </c:pt>
              </c:numCache>
            </c:numRef>
          </c:xVal>
          <c:yVal>
            <c:numRef>
              <c:f>Sheet1!$G$2:$G$147</c:f>
              <c:numCache>
                <c:formatCode>General</c:formatCode>
                <c:ptCount val="146"/>
                <c:pt idx="0">
                  <c:v>24.16</c:v>
                </c:pt>
                <c:pt idx="1">
                  <c:v>24.16</c:v>
                </c:pt>
                <c:pt idx="2">
                  <c:v>24.16</c:v>
                </c:pt>
                <c:pt idx="3">
                  <c:v>24.16</c:v>
                </c:pt>
                <c:pt idx="4">
                  <c:v>24.16</c:v>
                </c:pt>
                <c:pt idx="5">
                  <c:v>24.16</c:v>
                </c:pt>
                <c:pt idx="6">
                  <c:v>24.2</c:v>
                </c:pt>
                <c:pt idx="7">
                  <c:v>24.16</c:v>
                </c:pt>
                <c:pt idx="8">
                  <c:v>24.16</c:v>
                </c:pt>
                <c:pt idx="9">
                  <c:v>24.16</c:v>
                </c:pt>
                <c:pt idx="10">
                  <c:v>24.16</c:v>
                </c:pt>
                <c:pt idx="11">
                  <c:v>24.2</c:v>
                </c:pt>
                <c:pt idx="12">
                  <c:v>24.16</c:v>
                </c:pt>
                <c:pt idx="13">
                  <c:v>24.2</c:v>
                </c:pt>
                <c:pt idx="14">
                  <c:v>24.2</c:v>
                </c:pt>
                <c:pt idx="15">
                  <c:v>24.16</c:v>
                </c:pt>
                <c:pt idx="16">
                  <c:v>24.16</c:v>
                </c:pt>
                <c:pt idx="17">
                  <c:v>24.2</c:v>
                </c:pt>
                <c:pt idx="18">
                  <c:v>24.2</c:v>
                </c:pt>
                <c:pt idx="19">
                  <c:v>24.2</c:v>
                </c:pt>
                <c:pt idx="20">
                  <c:v>24.2</c:v>
                </c:pt>
                <c:pt idx="21">
                  <c:v>24.16</c:v>
                </c:pt>
                <c:pt idx="22">
                  <c:v>24.2</c:v>
                </c:pt>
                <c:pt idx="23">
                  <c:v>24.2</c:v>
                </c:pt>
                <c:pt idx="24">
                  <c:v>24.2</c:v>
                </c:pt>
                <c:pt idx="25">
                  <c:v>24.2</c:v>
                </c:pt>
                <c:pt idx="26">
                  <c:v>24.16</c:v>
                </c:pt>
                <c:pt idx="27">
                  <c:v>24.2</c:v>
                </c:pt>
                <c:pt idx="28">
                  <c:v>24.2</c:v>
                </c:pt>
                <c:pt idx="29">
                  <c:v>24.16</c:v>
                </c:pt>
                <c:pt idx="30">
                  <c:v>24.16</c:v>
                </c:pt>
                <c:pt idx="31">
                  <c:v>24.2</c:v>
                </c:pt>
                <c:pt idx="32">
                  <c:v>24.2</c:v>
                </c:pt>
                <c:pt idx="33">
                  <c:v>24.16</c:v>
                </c:pt>
                <c:pt idx="34">
                  <c:v>24.2</c:v>
                </c:pt>
                <c:pt idx="35">
                  <c:v>24.16</c:v>
                </c:pt>
                <c:pt idx="36">
                  <c:v>24.16</c:v>
                </c:pt>
                <c:pt idx="37">
                  <c:v>24.2</c:v>
                </c:pt>
                <c:pt idx="38">
                  <c:v>24.16</c:v>
                </c:pt>
                <c:pt idx="39">
                  <c:v>24.2</c:v>
                </c:pt>
                <c:pt idx="40">
                  <c:v>24.16</c:v>
                </c:pt>
                <c:pt idx="41">
                  <c:v>24.16</c:v>
                </c:pt>
                <c:pt idx="42">
                  <c:v>24.16</c:v>
                </c:pt>
                <c:pt idx="43">
                  <c:v>24.2</c:v>
                </c:pt>
                <c:pt idx="44">
                  <c:v>24.2</c:v>
                </c:pt>
                <c:pt idx="45">
                  <c:v>24.2</c:v>
                </c:pt>
                <c:pt idx="46">
                  <c:v>24.2</c:v>
                </c:pt>
                <c:pt idx="47">
                  <c:v>24.2</c:v>
                </c:pt>
                <c:pt idx="48">
                  <c:v>24.16</c:v>
                </c:pt>
                <c:pt idx="49">
                  <c:v>24.16</c:v>
                </c:pt>
                <c:pt idx="50">
                  <c:v>24.16</c:v>
                </c:pt>
                <c:pt idx="51">
                  <c:v>24.2</c:v>
                </c:pt>
                <c:pt idx="52">
                  <c:v>24.16</c:v>
                </c:pt>
                <c:pt idx="53">
                  <c:v>24.16</c:v>
                </c:pt>
                <c:pt idx="54">
                  <c:v>24.2</c:v>
                </c:pt>
                <c:pt idx="55">
                  <c:v>24.16</c:v>
                </c:pt>
                <c:pt idx="56">
                  <c:v>24.16</c:v>
                </c:pt>
                <c:pt idx="57">
                  <c:v>24.2</c:v>
                </c:pt>
                <c:pt idx="58">
                  <c:v>24.2</c:v>
                </c:pt>
                <c:pt idx="59">
                  <c:v>24.16</c:v>
                </c:pt>
                <c:pt idx="60">
                  <c:v>24.16</c:v>
                </c:pt>
                <c:pt idx="61">
                  <c:v>24.16</c:v>
                </c:pt>
                <c:pt idx="62">
                  <c:v>24.16</c:v>
                </c:pt>
                <c:pt idx="63">
                  <c:v>24.16</c:v>
                </c:pt>
                <c:pt idx="64">
                  <c:v>24.16</c:v>
                </c:pt>
                <c:pt idx="65">
                  <c:v>24.16</c:v>
                </c:pt>
                <c:pt idx="66">
                  <c:v>24.2</c:v>
                </c:pt>
                <c:pt idx="67">
                  <c:v>24.16</c:v>
                </c:pt>
                <c:pt idx="68">
                  <c:v>24.16</c:v>
                </c:pt>
                <c:pt idx="69">
                  <c:v>24.16</c:v>
                </c:pt>
                <c:pt idx="70">
                  <c:v>24.16</c:v>
                </c:pt>
                <c:pt idx="71">
                  <c:v>24.16</c:v>
                </c:pt>
                <c:pt idx="72">
                  <c:v>24.16</c:v>
                </c:pt>
                <c:pt idx="73">
                  <c:v>24.2</c:v>
                </c:pt>
                <c:pt idx="74">
                  <c:v>24.2</c:v>
                </c:pt>
                <c:pt idx="75">
                  <c:v>24.16</c:v>
                </c:pt>
                <c:pt idx="76">
                  <c:v>24.16</c:v>
                </c:pt>
                <c:pt idx="77">
                  <c:v>24.13</c:v>
                </c:pt>
                <c:pt idx="78">
                  <c:v>24.2</c:v>
                </c:pt>
                <c:pt idx="79">
                  <c:v>24.16</c:v>
                </c:pt>
                <c:pt idx="80">
                  <c:v>24.16</c:v>
                </c:pt>
                <c:pt idx="81">
                  <c:v>24.16</c:v>
                </c:pt>
                <c:pt idx="82">
                  <c:v>24.16</c:v>
                </c:pt>
                <c:pt idx="83">
                  <c:v>24.16</c:v>
                </c:pt>
                <c:pt idx="84">
                  <c:v>24.16</c:v>
                </c:pt>
                <c:pt idx="85">
                  <c:v>24.16</c:v>
                </c:pt>
                <c:pt idx="86">
                  <c:v>24.16</c:v>
                </c:pt>
                <c:pt idx="87">
                  <c:v>24.16</c:v>
                </c:pt>
                <c:pt idx="88">
                  <c:v>24.16</c:v>
                </c:pt>
                <c:pt idx="89">
                  <c:v>24.16</c:v>
                </c:pt>
                <c:pt idx="90">
                  <c:v>24.16</c:v>
                </c:pt>
                <c:pt idx="91">
                  <c:v>24.13</c:v>
                </c:pt>
                <c:pt idx="92">
                  <c:v>24.16</c:v>
                </c:pt>
                <c:pt idx="93">
                  <c:v>24.13</c:v>
                </c:pt>
                <c:pt idx="94">
                  <c:v>24.13</c:v>
                </c:pt>
                <c:pt idx="95">
                  <c:v>24.16</c:v>
                </c:pt>
                <c:pt idx="96">
                  <c:v>24.16</c:v>
                </c:pt>
                <c:pt idx="97">
                  <c:v>24.13</c:v>
                </c:pt>
                <c:pt idx="98">
                  <c:v>24.13</c:v>
                </c:pt>
                <c:pt idx="99">
                  <c:v>24.16</c:v>
                </c:pt>
                <c:pt idx="100">
                  <c:v>24.16</c:v>
                </c:pt>
                <c:pt idx="101">
                  <c:v>24.16</c:v>
                </c:pt>
                <c:pt idx="102">
                  <c:v>24.13</c:v>
                </c:pt>
                <c:pt idx="103">
                  <c:v>24.13</c:v>
                </c:pt>
                <c:pt idx="104">
                  <c:v>24.13</c:v>
                </c:pt>
                <c:pt idx="105">
                  <c:v>24.13</c:v>
                </c:pt>
                <c:pt idx="106">
                  <c:v>24.1</c:v>
                </c:pt>
                <c:pt idx="107">
                  <c:v>24.16</c:v>
                </c:pt>
                <c:pt idx="108">
                  <c:v>24.16</c:v>
                </c:pt>
                <c:pt idx="109">
                  <c:v>24.13</c:v>
                </c:pt>
                <c:pt idx="110">
                  <c:v>24.1</c:v>
                </c:pt>
                <c:pt idx="111">
                  <c:v>24.13</c:v>
                </c:pt>
                <c:pt idx="112">
                  <c:v>24.13</c:v>
                </c:pt>
                <c:pt idx="113">
                  <c:v>24.13</c:v>
                </c:pt>
                <c:pt idx="114">
                  <c:v>24.13</c:v>
                </c:pt>
                <c:pt idx="115">
                  <c:v>24.1</c:v>
                </c:pt>
                <c:pt idx="116">
                  <c:v>24.13</c:v>
                </c:pt>
                <c:pt idx="117">
                  <c:v>24.13</c:v>
                </c:pt>
                <c:pt idx="118">
                  <c:v>24.13</c:v>
                </c:pt>
                <c:pt idx="119">
                  <c:v>24.13</c:v>
                </c:pt>
                <c:pt idx="120">
                  <c:v>24.13</c:v>
                </c:pt>
                <c:pt idx="121">
                  <c:v>24.13</c:v>
                </c:pt>
                <c:pt idx="122">
                  <c:v>24.13</c:v>
                </c:pt>
                <c:pt idx="123">
                  <c:v>24.13</c:v>
                </c:pt>
                <c:pt idx="124">
                  <c:v>24.1</c:v>
                </c:pt>
                <c:pt idx="125">
                  <c:v>24.13</c:v>
                </c:pt>
                <c:pt idx="126">
                  <c:v>24.13</c:v>
                </c:pt>
                <c:pt idx="127">
                  <c:v>24.1</c:v>
                </c:pt>
                <c:pt idx="128">
                  <c:v>24.13</c:v>
                </c:pt>
                <c:pt idx="129">
                  <c:v>24.13</c:v>
                </c:pt>
                <c:pt idx="130">
                  <c:v>24.13</c:v>
                </c:pt>
                <c:pt idx="131">
                  <c:v>24.13</c:v>
                </c:pt>
                <c:pt idx="132">
                  <c:v>24.13</c:v>
                </c:pt>
                <c:pt idx="133">
                  <c:v>24.13</c:v>
                </c:pt>
                <c:pt idx="134">
                  <c:v>24.13</c:v>
                </c:pt>
                <c:pt idx="135">
                  <c:v>24.13</c:v>
                </c:pt>
                <c:pt idx="136">
                  <c:v>24.13</c:v>
                </c:pt>
                <c:pt idx="137">
                  <c:v>24.13</c:v>
                </c:pt>
                <c:pt idx="138">
                  <c:v>24.1</c:v>
                </c:pt>
                <c:pt idx="139">
                  <c:v>24.13</c:v>
                </c:pt>
                <c:pt idx="140">
                  <c:v>24.13</c:v>
                </c:pt>
                <c:pt idx="141">
                  <c:v>24.13</c:v>
                </c:pt>
                <c:pt idx="142">
                  <c:v>24.16</c:v>
                </c:pt>
                <c:pt idx="143">
                  <c:v>24.13</c:v>
                </c:pt>
                <c:pt idx="144">
                  <c:v>24.13</c:v>
                </c:pt>
                <c:pt idx="145">
                  <c:v>24.13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4EA56AC-4645-43A8-A5DF-CB0550F14D31}"/>
            </c:ext>
          </c:extLst>
        </c:ser>
        <c:ser>
          <c:idx val="1"/>
          <c:order val="1"/>
          <c:tx>
            <c:strRef>
              <c:f>Sheet1!H1</c:f>
              <c:strCache>
                <c:ptCount val="1"/>
                <c:pt idx="0">
                  <c:v>T_inf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Sheet1!$F$2:$F$147</c:f>
              <c:numCache>
                <c:formatCode>General</c:formatCode>
                <c:ptCount val="146"/>
                <c:pt idx="0">
                  <c:v>0</c:v>
                </c:pt>
                <c:pt idx="1">
                  <c:v>0.40899999999999892</c:v>
                </c:pt>
                <c:pt idx="2">
                  <c:v>0.87100000000000222</c:v>
                </c:pt>
                <c:pt idx="3">
                  <c:v>1.2759999999999998</c:v>
                </c:pt>
                <c:pt idx="4">
                  <c:v>1.6660000000000004</c:v>
                </c:pt>
                <c:pt idx="5">
                  <c:v>2.0700000000000003</c:v>
                </c:pt>
                <c:pt idx="6">
                  <c:v>2.5070000000000014</c:v>
                </c:pt>
                <c:pt idx="7">
                  <c:v>2.8719999999999999</c:v>
                </c:pt>
                <c:pt idx="8">
                  <c:v>3.2839999999999989</c:v>
                </c:pt>
                <c:pt idx="9">
                  <c:v>3.6939999999999991</c:v>
                </c:pt>
                <c:pt idx="10">
                  <c:v>4.1389999999999993</c:v>
                </c:pt>
                <c:pt idx="11">
                  <c:v>4.5440000000000005</c:v>
                </c:pt>
                <c:pt idx="12">
                  <c:v>4.9250000000000007</c:v>
                </c:pt>
                <c:pt idx="13">
                  <c:v>5.3350000000000009</c:v>
                </c:pt>
                <c:pt idx="14">
                  <c:v>5.772000000000002</c:v>
                </c:pt>
                <c:pt idx="15">
                  <c:v>6.1539999999999999</c:v>
                </c:pt>
                <c:pt idx="16">
                  <c:v>6.5629999999999988</c:v>
                </c:pt>
                <c:pt idx="17">
                  <c:v>7.02</c:v>
                </c:pt>
                <c:pt idx="18">
                  <c:v>7.3870000000000005</c:v>
                </c:pt>
                <c:pt idx="19">
                  <c:v>7.7959999999999994</c:v>
                </c:pt>
                <c:pt idx="20">
                  <c:v>8.2490000000000023</c:v>
                </c:pt>
                <c:pt idx="21">
                  <c:v>8.6140000000000008</c:v>
                </c:pt>
                <c:pt idx="22">
                  <c:v>9.0600000000000023</c:v>
                </c:pt>
                <c:pt idx="23">
                  <c:v>9.4650000000000034</c:v>
                </c:pt>
                <c:pt idx="24">
                  <c:v>9.8719999999999999</c:v>
                </c:pt>
                <c:pt idx="25">
                  <c:v>10.256999999999998</c:v>
                </c:pt>
                <c:pt idx="26">
                  <c:v>10.698999999999998</c:v>
                </c:pt>
                <c:pt idx="27">
                  <c:v>11.103000000000002</c:v>
                </c:pt>
                <c:pt idx="28">
                  <c:v>11.508000000000003</c:v>
                </c:pt>
                <c:pt idx="29">
                  <c:v>11.927999999999997</c:v>
                </c:pt>
                <c:pt idx="30">
                  <c:v>12.347000000000001</c:v>
                </c:pt>
                <c:pt idx="31">
                  <c:v>12.718000000000004</c:v>
                </c:pt>
                <c:pt idx="32">
                  <c:v>13.155999999999999</c:v>
                </c:pt>
                <c:pt idx="33">
                  <c:v>13.561999999999998</c:v>
                </c:pt>
                <c:pt idx="34">
                  <c:v>13.983000000000004</c:v>
                </c:pt>
                <c:pt idx="35">
                  <c:v>14.387999999999998</c:v>
                </c:pt>
                <c:pt idx="36">
                  <c:v>14.808</c:v>
                </c:pt>
                <c:pt idx="37">
                  <c:v>15.180999999999997</c:v>
                </c:pt>
                <c:pt idx="38">
                  <c:v>15.619999999999997</c:v>
                </c:pt>
                <c:pt idx="39">
                  <c:v>16.041000000000004</c:v>
                </c:pt>
                <c:pt idx="40">
                  <c:v>16.410000000000004</c:v>
                </c:pt>
                <c:pt idx="41">
                  <c:v>16.819000000000003</c:v>
                </c:pt>
                <c:pt idx="42">
                  <c:v>17.233000000000004</c:v>
                </c:pt>
                <c:pt idx="43">
                  <c:v>17.677</c:v>
                </c:pt>
                <c:pt idx="44">
                  <c:v>18.082000000000001</c:v>
                </c:pt>
                <c:pt idx="45">
                  <c:v>18.487000000000002</c:v>
                </c:pt>
                <c:pt idx="46">
                  <c:v>18.892000000000003</c:v>
                </c:pt>
                <c:pt idx="47">
                  <c:v>19.313000000000002</c:v>
                </c:pt>
                <c:pt idx="48">
                  <c:v>19.718000000000004</c:v>
                </c:pt>
                <c:pt idx="49">
                  <c:v>20.14</c:v>
                </c:pt>
                <c:pt idx="50">
                  <c:v>20.514000000000003</c:v>
                </c:pt>
                <c:pt idx="51">
                  <c:v>20.948</c:v>
                </c:pt>
                <c:pt idx="52">
                  <c:v>21.368000000000002</c:v>
                </c:pt>
                <c:pt idx="53">
                  <c:v>21.786999999999999</c:v>
                </c:pt>
                <c:pt idx="54">
                  <c:v>22.152000000000001</c:v>
                </c:pt>
                <c:pt idx="55">
                  <c:v>22.582000000000001</c:v>
                </c:pt>
                <c:pt idx="56">
                  <c:v>23.003999999999998</c:v>
                </c:pt>
                <c:pt idx="57">
                  <c:v>23.423999999999999</c:v>
                </c:pt>
                <c:pt idx="58">
                  <c:v>23.795000000000002</c:v>
                </c:pt>
                <c:pt idx="59">
                  <c:v>24.219000000000001</c:v>
                </c:pt>
                <c:pt idx="60">
                  <c:v>24.613</c:v>
                </c:pt>
                <c:pt idx="61">
                  <c:v>25.027000000000001</c:v>
                </c:pt>
                <c:pt idx="62">
                  <c:v>25.477000000000004</c:v>
                </c:pt>
                <c:pt idx="63">
                  <c:v>25.866999999999997</c:v>
                </c:pt>
                <c:pt idx="64">
                  <c:v>26.271999999999998</c:v>
                </c:pt>
                <c:pt idx="65">
                  <c:v>26.666000000000004</c:v>
                </c:pt>
                <c:pt idx="66">
                  <c:v>27.113999999999997</c:v>
                </c:pt>
                <c:pt idx="67">
                  <c:v>27.484999999999999</c:v>
                </c:pt>
                <c:pt idx="68">
                  <c:v>27.898000000000003</c:v>
                </c:pt>
                <c:pt idx="69">
                  <c:v>28.308</c:v>
                </c:pt>
                <c:pt idx="70">
                  <c:v>28.716999999999999</c:v>
                </c:pt>
                <c:pt idx="71">
                  <c:v>29.155999999999999</c:v>
                </c:pt>
                <c:pt idx="72">
                  <c:v>29.561999999999998</c:v>
                </c:pt>
                <c:pt idx="73">
                  <c:v>29.980000000000004</c:v>
                </c:pt>
                <c:pt idx="74">
                  <c:v>30.386000000000003</c:v>
                </c:pt>
                <c:pt idx="75">
                  <c:v>30.792000000000002</c:v>
                </c:pt>
                <c:pt idx="76">
                  <c:v>31.213999999999999</c:v>
                </c:pt>
                <c:pt idx="77">
                  <c:v>31.633000000000003</c:v>
                </c:pt>
                <c:pt idx="78">
                  <c:v>32.04</c:v>
                </c:pt>
                <c:pt idx="79">
                  <c:v>32.43</c:v>
                </c:pt>
                <c:pt idx="80">
                  <c:v>32.85</c:v>
                </c:pt>
                <c:pt idx="81">
                  <c:v>33.271999999999998</c:v>
                </c:pt>
                <c:pt idx="82">
                  <c:v>33.64</c:v>
                </c:pt>
                <c:pt idx="83">
                  <c:v>34.096000000000004</c:v>
                </c:pt>
                <c:pt idx="84">
                  <c:v>34.46</c:v>
                </c:pt>
                <c:pt idx="85">
                  <c:v>34.869</c:v>
                </c:pt>
                <c:pt idx="86">
                  <c:v>35.279000000000003</c:v>
                </c:pt>
                <c:pt idx="87">
                  <c:v>35.716000000000001</c:v>
                </c:pt>
                <c:pt idx="88">
                  <c:v>36.122999999999998</c:v>
                </c:pt>
                <c:pt idx="89">
                  <c:v>36.512</c:v>
                </c:pt>
                <c:pt idx="90">
                  <c:v>36.966000000000001</c:v>
                </c:pt>
                <c:pt idx="91">
                  <c:v>37.331000000000003</c:v>
                </c:pt>
                <c:pt idx="92">
                  <c:v>37.74</c:v>
                </c:pt>
                <c:pt idx="93">
                  <c:v>38.179000000000002</c:v>
                </c:pt>
                <c:pt idx="94">
                  <c:v>38.585999999999999</c:v>
                </c:pt>
                <c:pt idx="95">
                  <c:v>39.003999999999998</c:v>
                </c:pt>
                <c:pt idx="96">
                  <c:v>39.423000000000002</c:v>
                </c:pt>
                <c:pt idx="97">
                  <c:v>39.792000000000002</c:v>
                </c:pt>
                <c:pt idx="98">
                  <c:v>40.201000000000001</c:v>
                </c:pt>
                <c:pt idx="99">
                  <c:v>40.655000000000001</c:v>
                </c:pt>
                <c:pt idx="100">
                  <c:v>41.02</c:v>
                </c:pt>
                <c:pt idx="101">
                  <c:v>41.465999999999994</c:v>
                </c:pt>
                <c:pt idx="102">
                  <c:v>41.887</c:v>
                </c:pt>
                <c:pt idx="103">
                  <c:v>42.292000000000002</c:v>
                </c:pt>
                <c:pt idx="104">
                  <c:v>42.664000000000001</c:v>
                </c:pt>
                <c:pt idx="105">
                  <c:v>43.117000000000004</c:v>
                </c:pt>
                <c:pt idx="106">
                  <c:v>43.483000000000004</c:v>
                </c:pt>
                <c:pt idx="107">
                  <c:v>43.891999999999996</c:v>
                </c:pt>
                <c:pt idx="108">
                  <c:v>44.332000000000008</c:v>
                </c:pt>
                <c:pt idx="109">
                  <c:v>44.751999999999995</c:v>
                </c:pt>
                <c:pt idx="110">
                  <c:v>45.125</c:v>
                </c:pt>
                <c:pt idx="111">
                  <c:v>45.576999999999998</c:v>
                </c:pt>
                <c:pt idx="112">
                  <c:v>45.981999999999999</c:v>
                </c:pt>
                <c:pt idx="113">
                  <c:v>46.387</c:v>
                </c:pt>
                <c:pt idx="114">
                  <c:v>46.807000000000002</c:v>
                </c:pt>
                <c:pt idx="115">
                  <c:v>47.176000000000002</c:v>
                </c:pt>
                <c:pt idx="116">
                  <c:v>47.616</c:v>
                </c:pt>
                <c:pt idx="117">
                  <c:v>48.034000000000006</c:v>
                </c:pt>
                <c:pt idx="118">
                  <c:v>48.44</c:v>
                </c:pt>
                <c:pt idx="119">
                  <c:v>48.844000000000008</c:v>
                </c:pt>
                <c:pt idx="120">
                  <c:v>49.265000000000001</c:v>
                </c:pt>
                <c:pt idx="121">
                  <c:v>49.638000000000005</c:v>
                </c:pt>
                <c:pt idx="122">
                  <c:v>50.09</c:v>
                </c:pt>
                <c:pt idx="123">
                  <c:v>50.477999999999994</c:v>
                </c:pt>
                <c:pt idx="124">
                  <c:v>50.885000000000005</c:v>
                </c:pt>
                <c:pt idx="125">
                  <c:v>51.304999999999993</c:v>
                </c:pt>
                <c:pt idx="126">
                  <c:v>51.707999999999998</c:v>
                </c:pt>
                <c:pt idx="127">
                  <c:v>52.100000000000009</c:v>
                </c:pt>
                <c:pt idx="128">
                  <c:v>52.509</c:v>
                </c:pt>
                <c:pt idx="129">
                  <c:v>52.951999999999998</c:v>
                </c:pt>
                <c:pt idx="130">
                  <c:v>53.358000000000004</c:v>
                </c:pt>
                <c:pt idx="131">
                  <c:v>53.783000000000001</c:v>
                </c:pt>
                <c:pt idx="132">
                  <c:v>54.189000000000007</c:v>
                </c:pt>
                <c:pt idx="133">
                  <c:v>54.594000000000008</c:v>
                </c:pt>
                <c:pt idx="134">
                  <c:v>55.015000000000001</c:v>
                </c:pt>
                <c:pt idx="135">
                  <c:v>55.42</c:v>
                </c:pt>
                <c:pt idx="136">
                  <c:v>55.790999999999997</c:v>
                </c:pt>
                <c:pt idx="137">
                  <c:v>56.219000000000008</c:v>
                </c:pt>
                <c:pt idx="138">
                  <c:v>56.638000000000005</c:v>
                </c:pt>
                <c:pt idx="139">
                  <c:v>57.058999999999997</c:v>
                </c:pt>
                <c:pt idx="140">
                  <c:v>57.435000000000002</c:v>
                </c:pt>
                <c:pt idx="141">
                  <c:v>57.874000000000009</c:v>
                </c:pt>
                <c:pt idx="142">
                  <c:v>58.292000000000002</c:v>
                </c:pt>
                <c:pt idx="143">
                  <c:v>58.697000000000003</c:v>
                </c:pt>
                <c:pt idx="144">
                  <c:v>59.102999999999994</c:v>
                </c:pt>
                <c:pt idx="145">
                  <c:v>59.509</c:v>
                </c:pt>
              </c:numCache>
            </c:numRef>
          </c:xVal>
          <c:yVal>
            <c:numRef>
              <c:f>Sheet1!$H$2:$H$147</c:f>
              <c:numCache>
                <c:formatCode>General</c:formatCode>
                <c:ptCount val="146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44.75</c:v>
                </c:pt>
                <c:pt idx="15">
                  <c:v>44.75</c:v>
                </c:pt>
                <c:pt idx="16">
                  <c:v>44.75</c:v>
                </c:pt>
                <c:pt idx="17">
                  <c:v>45</c:v>
                </c:pt>
                <c:pt idx="18">
                  <c:v>44.75</c:v>
                </c:pt>
                <c:pt idx="19">
                  <c:v>44.75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44.75</c:v>
                </c:pt>
                <c:pt idx="44">
                  <c:v>45</c:v>
                </c:pt>
                <c:pt idx="45">
                  <c:v>44.75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44.75</c:v>
                </c:pt>
                <c:pt idx="51">
                  <c:v>45</c:v>
                </c:pt>
                <c:pt idx="52">
                  <c:v>45</c:v>
                </c:pt>
                <c:pt idx="53">
                  <c:v>44.75</c:v>
                </c:pt>
                <c:pt idx="54">
                  <c:v>44.75</c:v>
                </c:pt>
                <c:pt idx="55">
                  <c:v>45</c:v>
                </c:pt>
                <c:pt idx="56">
                  <c:v>44.75</c:v>
                </c:pt>
                <c:pt idx="57">
                  <c:v>44.75</c:v>
                </c:pt>
                <c:pt idx="58">
                  <c:v>44.75</c:v>
                </c:pt>
                <c:pt idx="59">
                  <c:v>44.75</c:v>
                </c:pt>
                <c:pt idx="60">
                  <c:v>44.75</c:v>
                </c:pt>
                <c:pt idx="61">
                  <c:v>44.75</c:v>
                </c:pt>
                <c:pt idx="62">
                  <c:v>44.75</c:v>
                </c:pt>
                <c:pt idx="63">
                  <c:v>44.75</c:v>
                </c:pt>
                <c:pt idx="64">
                  <c:v>44.75</c:v>
                </c:pt>
                <c:pt idx="65">
                  <c:v>44.75</c:v>
                </c:pt>
                <c:pt idx="66">
                  <c:v>44.75</c:v>
                </c:pt>
                <c:pt idx="67">
                  <c:v>45</c:v>
                </c:pt>
                <c:pt idx="68">
                  <c:v>44.75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44.75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44.75</c:v>
                </c:pt>
                <c:pt idx="80">
                  <c:v>44.75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44.75</c:v>
                </c:pt>
                <c:pt idx="85">
                  <c:v>45</c:v>
                </c:pt>
                <c:pt idx="86">
                  <c:v>44.75</c:v>
                </c:pt>
                <c:pt idx="87">
                  <c:v>44.75</c:v>
                </c:pt>
                <c:pt idx="88">
                  <c:v>44.75</c:v>
                </c:pt>
                <c:pt idx="89">
                  <c:v>44.75</c:v>
                </c:pt>
                <c:pt idx="90">
                  <c:v>44.75</c:v>
                </c:pt>
                <c:pt idx="91">
                  <c:v>44.75</c:v>
                </c:pt>
                <c:pt idx="92">
                  <c:v>44.75</c:v>
                </c:pt>
                <c:pt idx="93">
                  <c:v>44.75</c:v>
                </c:pt>
                <c:pt idx="94">
                  <c:v>44.75</c:v>
                </c:pt>
                <c:pt idx="95">
                  <c:v>44.75</c:v>
                </c:pt>
                <c:pt idx="96">
                  <c:v>44.75</c:v>
                </c:pt>
                <c:pt idx="97">
                  <c:v>44.75</c:v>
                </c:pt>
                <c:pt idx="98">
                  <c:v>44.75</c:v>
                </c:pt>
                <c:pt idx="99">
                  <c:v>44.75</c:v>
                </c:pt>
                <c:pt idx="100">
                  <c:v>44.5</c:v>
                </c:pt>
                <c:pt idx="101">
                  <c:v>44.5</c:v>
                </c:pt>
                <c:pt idx="102">
                  <c:v>44.75</c:v>
                </c:pt>
                <c:pt idx="103">
                  <c:v>44.5</c:v>
                </c:pt>
                <c:pt idx="104">
                  <c:v>44.5</c:v>
                </c:pt>
                <c:pt idx="105">
                  <c:v>44.5</c:v>
                </c:pt>
                <c:pt idx="106">
                  <c:v>44.5</c:v>
                </c:pt>
                <c:pt idx="107">
                  <c:v>44.5</c:v>
                </c:pt>
                <c:pt idx="108">
                  <c:v>44.5</c:v>
                </c:pt>
                <c:pt idx="109">
                  <c:v>44.5</c:v>
                </c:pt>
                <c:pt idx="110">
                  <c:v>44.25</c:v>
                </c:pt>
                <c:pt idx="111">
                  <c:v>44.5</c:v>
                </c:pt>
                <c:pt idx="112">
                  <c:v>44.25</c:v>
                </c:pt>
                <c:pt idx="113">
                  <c:v>44.25</c:v>
                </c:pt>
                <c:pt idx="114">
                  <c:v>44.5</c:v>
                </c:pt>
                <c:pt idx="115">
                  <c:v>44.5</c:v>
                </c:pt>
                <c:pt idx="116">
                  <c:v>44.5</c:v>
                </c:pt>
                <c:pt idx="117">
                  <c:v>44.5</c:v>
                </c:pt>
                <c:pt idx="118">
                  <c:v>44.5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44.5</c:v>
                </c:pt>
                <c:pt idx="125">
                  <c:v>44.5</c:v>
                </c:pt>
                <c:pt idx="126">
                  <c:v>44.5</c:v>
                </c:pt>
                <c:pt idx="127">
                  <c:v>44.5</c:v>
                </c:pt>
                <c:pt idx="128">
                  <c:v>44.75</c:v>
                </c:pt>
                <c:pt idx="129">
                  <c:v>44.5</c:v>
                </c:pt>
                <c:pt idx="130">
                  <c:v>44.5</c:v>
                </c:pt>
                <c:pt idx="131">
                  <c:v>44.75</c:v>
                </c:pt>
                <c:pt idx="132">
                  <c:v>44.5</c:v>
                </c:pt>
                <c:pt idx="133">
                  <c:v>44.5</c:v>
                </c:pt>
                <c:pt idx="134">
                  <c:v>44.5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44.25</c:v>
                </c:pt>
                <c:pt idx="140">
                  <c:v>44.25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44.5</c:v>
                </c:pt>
                <c:pt idx="145">
                  <c:v>44.5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D29CE3E6-161A-487F-891B-DB79B169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16199"/>
        <c:axId val="103577095"/>
      </c:scatterChart>
      <c:valAx>
        <c:axId val="60616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7095"/>
        <c:crosses val="autoZero"/>
        <c:crossBetween val="midCat"/>
      </c:valAx>
      <c:valAx>
        <c:axId val="103577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(degrees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6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Sheet1!N1</c:f>
              <c:strCache>
                <c:ptCount val="1"/>
                <c:pt idx="0">
                  <c:v>Flux (W/m^2)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Sheet1!$M$2:$M$150</c:f>
              <c:numCache>
                <c:formatCode>General</c:formatCode>
                <c:ptCount val="149"/>
                <c:pt idx="0">
                  <c:v>0</c:v>
                </c:pt>
                <c:pt idx="1">
                  <c:v>0.40799999999999992</c:v>
                </c:pt>
                <c:pt idx="2">
                  <c:v>0.81600000000000028</c:v>
                </c:pt>
                <c:pt idx="3">
                  <c:v>1.2239999999999998</c:v>
                </c:pt>
                <c:pt idx="4">
                  <c:v>1.6320000000000001</c:v>
                </c:pt>
                <c:pt idx="5">
                  <c:v>2.0399999999999996</c:v>
                </c:pt>
                <c:pt idx="6">
                  <c:v>2.448</c:v>
                </c:pt>
                <c:pt idx="7">
                  <c:v>2.8560000000000003</c:v>
                </c:pt>
                <c:pt idx="8">
                  <c:v>3.2639999999999998</c:v>
                </c:pt>
                <c:pt idx="9">
                  <c:v>3.6720000000000002</c:v>
                </c:pt>
                <c:pt idx="10">
                  <c:v>4.0790000000000006</c:v>
                </c:pt>
                <c:pt idx="11">
                  <c:v>4.4870000000000001</c:v>
                </c:pt>
                <c:pt idx="12">
                  <c:v>4.8949999999999996</c:v>
                </c:pt>
                <c:pt idx="13">
                  <c:v>5.302999999999999</c:v>
                </c:pt>
                <c:pt idx="14">
                  <c:v>5.7110000000000003</c:v>
                </c:pt>
                <c:pt idx="15">
                  <c:v>6.1189999999999998</c:v>
                </c:pt>
                <c:pt idx="16">
                  <c:v>6.5269999999999992</c:v>
                </c:pt>
                <c:pt idx="17">
                  <c:v>6.9349999999999987</c:v>
                </c:pt>
                <c:pt idx="18">
                  <c:v>7.343</c:v>
                </c:pt>
                <c:pt idx="19">
                  <c:v>7.7509999999999994</c:v>
                </c:pt>
                <c:pt idx="20">
                  <c:v>8.1589999999999989</c:v>
                </c:pt>
                <c:pt idx="21">
                  <c:v>8.5670000000000002</c:v>
                </c:pt>
                <c:pt idx="22">
                  <c:v>8.9740000000000002</c:v>
                </c:pt>
                <c:pt idx="23">
                  <c:v>9.3819999999999997</c:v>
                </c:pt>
                <c:pt idx="24">
                  <c:v>9.7910000000000004</c:v>
                </c:pt>
                <c:pt idx="25">
                  <c:v>10.198</c:v>
                </c:pt>
                <c:pt idx="26">
                  <c:v>10.606</c:v>
                </c:pt>
                <c:pt idx="27">
                  <c:v>11.014999999999999</c:v>
                </c:pt>
                <c:pt idx="28">
                  <c:v>11.421999999999999</c:v>
                </c:pt>
                <c:pt idx="29">
                  <c:v>11.831</c:v>
                </c:pt>
                <c:pt idx="30">
                  <c:v>12.238999999999999</c:v>
                </c:pt>
                <c:pt idx="31">
                  <c:v>12.646000000000001</c:v>
                </c:pt>
                <c:pt idx="32">
                  <c:v>13.053999999999998</c:v>
                </c:pt>
                <c:pt idx="33">
                  <c:v>13.463000000000001</c:v>
                </c:pt>
                <c:pt idx="34">
                  <c:v>13.870999999999999</c:v>
                </c:pt>
                <c:pt idx="35">
                  <c:v>14.277999999999999</c:v>
                </c:pt>
                <c:pt idx="36">
                  <c:v>14.687000000000001</c:v>
                </c:pt>
                <c:pt idx="37">
                  <c:v>15.094999999999999</c:v>
                </c:pt>
                <c:pt idx="38">
                  <c:v>15.503</c:v>
                </c:pt>
                <c:pt idx="39">
                  <c:v>15.91</c:v>
                </c:pt>
                <c:pt idx="40">
                  <c:v>16.318999999999999</c:v>
                </c:pt>
                <c:pt idx="41">
                  <c:v>16.725999999999999</c:v>
                </c:pt>
                <c:pt idx="42">
                  <c:v>17.134999999999998</c:v>
                </c:pt>
                <c:pt idx="43">
                  <c:v>17.542999999999999</c:v>
                </c:pt>
                <c:pt idx="44">
                  <c:v>17.95</c:v>
                </c:pt>
                <c:pt idx="45">
                  <c:v>18.358000000000001</c:v>
                </c:pt>
                <c:pt idx="46">
                  <c:v>18.765999999999998</c:v>
                </c:pt>
                <c:pt idx="47">
                  <c:v>19.173999999999999</c:v>
                </c:pt>
                <c:pt idx="48">
                  <c:v>19.582000000000001</c:v>
                </c:pt>
                <c:pt idx="49">
                  <c:v>19.989999999999998</c:v>
                </c:pt>
                <c:pt idx="50">
                  <c:v>20.398</c:v>
                </c:pt>
                <c:pt idx="51">
                  <c:v>20.806000000000001</c:v>
                </c:pt>
                <c:pt idx="52">
                  <c:v>21.213999999999999</c:v>
                </c:pt>
                <c:pt idx="53">
                  <c:v>21.622</c:v>
                </c:pt>
                <c:pt idx="54">
                  <c:v>22.03</c:v>
                </c:pt>
                <c:pt idx="55">
                  <c:v>22.437999999999999</c:v>
                </c:pt>
                <c:pt idx="56">
                  <c:v>22.846</c:v>
                </c:pt>
                <c:pt idx="57">
                  <c:v>23.254000000000001</c:v>
                </c:pt>
                <c:pt idx="58">
                  <c:v>23.661999999999999</c:v>
                </c:pt>
                <c:pt idx="59">
                  <c:v>24.07</c:v>
                </c:pt>
                <c:pt idx="60">
                  <c:v>24.477999999999998</c:v>
                </c:pt>
                <c:pt idx="61">
                  <c:v>24.885999999999999</c:v>
                </c:pt>
                <c:pt idx="62">
                  <c:v>25.294</c:v>
                </c:pt>
                <c:pt idx="63">
                  <c:v>25.701999999999998</c:v>
                </c:pt>
                <c:pt idx="64">
                  <c:v>26.11</c:v>
                </c:pt>
                <c:pt idx="65">
                  <c:v>26.518000000000001</c:v>
                </c:pt>
                <c:pt idx="66">
                  <c:v>26.925000000000001</c:v>
                </c:pt>
                <c:pt idx="67">
                  <c:v>27.334</c:v>
                </c:pt>
                <c:pt idx="68">
                  <c:v>27.742000000000001</c:v>
                </c:pt>
                <c:pt idx="69">
                  <c:v>28.15</c:v>
                </c:pt>
                <c:pt idx="70">
                  <c:v>28.556999999999999</c:v>
                </c:pt>
                <c:pt idx="71">
                  <c:v>28.965</c:v>
                </c:pt>
                <c:pt idx="72">
                  <c:v>29.373999999999999</c:v>
                </c:pt>
                <c:pt idx="73">
                  <c:v>29.781000000000002</c:v>
                </c:pt>
                <c:pt idx="74">
                  <c:v>30.188999999999997</c:v>
                </c:pt>
                <c:pt idx="75">
                  <c:v>30.596999999999998</c:v>
                </c:pt>
                <c:pt idx="76">
                  <c:v>31.004999999999999</c:v>
                </c:pt>
                <c:pt idx="77">
                  <c:v>31.413</c:v>
                </c:pt>
                <c:pt idx="78">
                  <c:v>31.821000000000002</c:v>
                </c:pt>
                <c:pt idx="79">
                  <c:v>32.229000000000006</c:v>
                </c:pt>
                <c:pt idx="80">
                  <c:v>32.637</c:v>
                </c:pt>
                <c:pt idx="81">
                  <c:v>33.045000000000002</c:v>
                </c:pt>
                <c:pt idx="82">
                  <c:v>33.453000000000003</c:v>
                </c:pt>
                <c:pt idx="83">
                  <c:v>33.861000000000004</c:v>
                </c:pt>
                <c:pt idx="84">
                  <c:v>34.269000000000005</c:v>
                </c:pt>
                <c:pt idx="85">
                  <c:v>34.677</c:v>
                </c:pt>
                <c:pt idx="86">
                  <c:v>35.084000000000003</c:v>
                </c:pt>
                <c:pt idx="87">
                  <c:v>35.492000000000004</c:v>
                </c:pt>
                <c:pt idx="88">
                  <c:v>35.901000000000003</c:v>
                </c:pt>
                <c:pt idx="89">
                  <c:v>36.309000000000005</c:v>
                </c:pt>
                <c:pt idx="90">
                  <c:v>36.716000000000001</c:v>
                </c:pt>
                <c:pt idx="91">
                  <c:v>37.125</c:v>
                </c:pt>
                <c:pt idx="92">
                  <c:v>37.533000000000001</c:v>
                </c:pt>
                <c:pt idx="93">
                  <c:v>37.940000000000005</c:v>
                </c:pt>
                <c:pt idx="94">
                  <c:v>38.349000000000004</c:v>
                </c:pt>
                <c:pt idx="95">
                  <c:v>38.757000000000005</c:v>
                </c:pt>
                <c:pt idx="96">
                  <c:v>39.165000000000006</c:v>
                </c:pt>
                <c:pt idx="97">
                  <c:v>39.573</c:v>
                </c:pt>
                <c:pt idx="98">
                  <c:v>39.980000000000004</c:v>
                </c:pt>
                <c:pt idx="99">
                  <c:v>40.388000000000005</c:v>
                </c:pt>
                <c:pt idx="100">
                  <c:v>40.796000000000006</c:v>
                </c:pt>
                <c:pt idx="101">
                  <c:v>41.204000000000001</c:v>
                </c:pt>
                <c:pt idx="102">
                  <c:v>41.612000000000002</c:v>
                </c:pt>
                <c:pt idx="103">
                  <c:v>42.02</c:v>
                </c:pt>
                <c:pt idx="104">
                  <c:v>42.428000000000004</c:v>
                </c:pt>
                <c:pt idx="105">
                  <c:v>42.836000000000006</c:v>
                </c:pt>
                <c:pt idx="106">
                  <c:v>43.243000000000002</c:v>
                </c:pt>
                <c:pt idx="107">
                  <c:v>43.651000000000003</c:v>
                </c:pt>
                <c:pt idx="108">
                  <c:v>44.059000000000005</c:v>
                </c:pt>
                <c:pt idx="109">
                  <c:v>44.468000000000004</c:v>
                </c:pt>
                <c:pt idx="110">
                  <c:v>44.876000000000005</c:v>
                </c:pt>
                <c:pt idx="111">
                  <c:v>45.284000000000006</c:v>
                </c:pt>
                <c:pt idx="112">
                  <c:v>45.692</c:v>
                </c:pt>
                <c:pt idx="113">
                  <c:v>46.1</c:v>
                </c:pt>
                <c:pt idx="114">
                  <c:v>46.508000000000003</c:v>
                </c:pt>
                <c:pt idx="115">
                  <c:v>46.916000000000004</c:v>
                </c:pt>
                <c:pt idx="116">
                  <c:v>47.324000000000005</c:v>
                </c:pt>
                <c:pt idx="117">
                  <c:v>47.732000000000006</c:v>
                </c:pt>
                <c:pt idx="118">
                  <c:v>48.14</c:v>
                </c:pt>
                <c:pt idx="119">
                  <c:v>48.548000000000002</c:v>
                </c:pt>
                <c:pt idx="120">
                  <c:v>48.956000000000003</c:v>
                </c:pt>
                <c:pt idx="121">
                  <c:v>49.363000000000007</c:v>
                </c:pt>
                <c:pt idx="122">
                  <c:v>49.772000000000006</c:v>
                </c:pt>
                <c:pt idx="123">
                  <c:v>50.179000000000002</c:v>
                </c:pt>
                <c:pt idx="124">
                  <c:v>50.587000000000003</c:v>
                </c:pt>
                <c:pt idx="125">
                  <c:v>50.995000000000005</c:v>
                </c:pt>
                <c:pt idx="126">
                  <c:v>51.404000000000003</c:v>
                </c:pt>
                <c:pt idx="127">
                  <c:v>51.811</c:v>
                </c:pt>
                <c:pt idx="128">
                  <c:v>52.219000000000001</c:v>
                </c:pt>
                <c:pt idx="129">
                  <c:v>52.627000000000002</c:v>
                </c:pt>
                <c:pt idx="130">
                  <c:v>53.035000000000004</c:v>
                </c:pt>
                <c:pt idx="131">
                  <c:v>53.442</c:v>
                </c:pt>
                <c:pt idx="132">
                  <c:v>53.85</c:v>
                </c:pt>
                <c:pt idx="133">
                  <c:v>54.259</c:v>
                </c:pt>
                <c:pt idx="134">
                  <c:v>54.667000000000002</c:v>
                </c:pt>
                <c:pt idx="135">
                  <c:v>55.075000000000003</c:v>
                </c:pt>
                <c:pt idx="136">
                  <c:v>55.483000000000004</c:v>
                </c:pt>
                <c:pt idx="137">
                  <c:v>55.891000000000005</c:v>
                </c:pt>
                <c:pt idx="138">
                  <c:v>56.299000000000007</c:v>
                </c:pt>
                <c:pt idx="139">
                  <c:v>56.707000000000001</c:v>
                </c:pt>
                <c:pt idx="140">
                  <c:v>57.114000000000004</c:v>
                </c:pt>
                <c:pt idx="141">
                  <c:v>57.522000000000006</c:v>
                </c:pt>
                <c:pt idx="142">
                  <c:v>57.93</c:v>
                </c:pt>
                <c:pt idx="143">
                  <c:v>58.338000000000001</c:v>
                </c:pt>
                <c:pt idx="144">
                  <c:v>58.746000000000002</c:v>
                </c:pt>
                <c:pt idx="145">
                  <c:v>59.154000000000003</c:v>
                </c:pt>
                <c:pt idx="146">
                  <c:v>59.562000000000005</c:v>
                </c:pt>
                <c:pt idx="147">
                  <c:v>59.970000000000006</c:v>
                </c:pt>
                <c:pt idx="148">
                  <c:v>60.378000000000007</c:v>
                </c:pt>
              </c:numCache>
            </c:numRef>
          </c:xVal>
          <c:yVal>
            <c:numRef>
              <c:f>Sheet1!$N$2:$N$150</c:f>
              <c:numCache>
                <c:formatCode>General</c:formatCode>
                <c:ptCount val="149"/>
                <c:pt idx="0">
                  <c:v>204.35</c:v>
                </c:pt>
                <c:pt idx="1">
                  <c:v>208.64</c:v>
                </c:pt>
                <c:pt idx="2">
                  <c:v>194.69</c:v>
                </c:pt>
                <c:pt idx="3">
                  <c:v>195.21</c:v>
                </c:pt>
                <c:pt idx="4">
                  <c:v>192.44</c:v>
                </c:pt>
                <c:pt idx="5">
                  <c:v>193.54</c:v>
                </c:pt>
                <c:pt idx="6">
                  <c:v>193.89</c:v>
                </c:pt>
                <c:pt idx="7">
                  <c:v>197.18</c:v>
                </c:pt>
                <c:pt idx="8">
                  <c:v>191.11</c:v>
                </c:pt>
                <c:pt idx="9">
                  <c:v>202.49</c:v>
                </c:pt>
                <c:pt idx="10">
                  <c:v>197.62</c:v>
                </c:pt>
                <c:pt idx="11">
                  <c:v>197.97</c:v>
                </c:pt>
                <c:pt idx="12">
                  <c:v>195.57</c:v>
                </c:pt>
                <c:pt idx="13">
                  <c:v>200.1</c:v>
                </c:pt>
                <c:pt idx="14">
                  <c:v>191.11</c:v>
                </c:pt>
                <c:pt idx="15">
                  <c:v>193.97</c:v>
                </c:pt>
                <c:pt idx="16">
                  <c:v>194.83</c:v>
                </c:pt>
                <c:pt idx="17">
                  <c:v>196.74</c:v>
                </c:pt>
                <c:pt idx="18">
                  <c:v>184.94</c:v>
                </c:pt>
                <c:pt idx="19">
                  <c:v>191.4</c:v>
                </c:pt>
                <c:pt idx="20">
                  <c:v>183.31</c:v>
                </c:pt>
                <c:pt idx="21">
                  <c:v>185.24</c:v>
                </c:pt>
                <c:pt idx="22">
                  <c:v>183.43</c:v>
                </c:pt>
                <c:pt idx="23">
                  <c:v>191.23</c:v>
                </c:pt>
                <c:pt idx="24">
                  <c:v>179.45</c:v>
                </c:pt>
                <c:pt idx="25">
                  <c:v>193.68</c:v>
                </c:pt>
                <c:pt idx="26">
                  <c:v>188.76</c:v>
                </c:pt>
                <c:pt idx="27">
                  <c:v>199.68</c:v>
                </c:pt>
                <c:pt idx="28">
                  <c:v>193.35</c:v>
                </c:pt>
                <c:pt idx="29">
                  <c:v>196.88</c:v>
                </c:pt>
                <c:pt idx="30">
                  <c:v>187.88</c:v>
                </c:pt>
                <c:pt idx="31">
                  <c:v>192.73</c:v>
                </c:pt>
                <c:pt idx="32">
                  <c:v>191.94</c:v>
                </c:pt>
                <c:pt idx="33">
                  <c:v>194.61</c:v>
                </c:pt>
                <c:pt idx="34">
                  <c:v>192.48</c:v>
                </c:pt>
                <c:pt idx="35">
                  <c:v>194.37</c:v>
                </c:pt>
                <c:pt idx="36">
                  <c:v>188.41</c:v>
                </c:pt>
                <c:pt idx="37">
                  <c:v>190.73</c:v>
                </c:pt>
                <c:pt idx="38">
                  <c:v>190.47</c:v>
                </c:pt>
                <c:pt idx="39">
                  <c:v>198.63</c:v>
                </c:pt>
                <c:pt idx="40">
                  <c:v>191.16</c:v>
                </c:pt>
                <c:pt idx="41">
                  <c:v>188.3</c:v>
                </c:pt>
                <c:pt idx="42">
                  <c:v>191.49</c:v>
                </c:pt>
                <c:pt idx="43">
                  <c:v>187.09</c:v>
                </c:pt>
                <c:pt idx="44">
                  <c:v>186.8</c:v>
                </c:pt>
                <c:pt idx="45">
                  <c:v>181.87</c:v>
                </c:pt>
                <c:pt idx="46">
                  <c:v>188.5</c:v>
                </c:pt>
                <c:pt idx="47">
                  <c:v>183.61</c:v>
                </c:pt>
                <c:pt idx="48">
                  <c:v>186.88</c:v>
                </c:pt>
                <c:pt idx="49">
                  <c:v>183.52</c:v>
                </c:pt>
                <c:pt idx="50">
                  <c:v>187.34</c:v>
                </c:pt>
                <c:pt idx="51">
                  <c:v>186.56</c:v>
                </c:pt>
                <c:pt idx="52">
                  <c:v>188.99</c:v>
                </c:pt>
                <c:pt idx="53">
                  <c:v>195.82</c:v>
                </c:pt>
                <c:pt idx="54">
                  <c:v>201.53</c:v>
                </c:pt>
                <c:pt idx="55">
                  <c:v>199.71</c:v>
                </c:pt>
                <c:pt idx="56">
                  <c:v>192.03</c:v>
                </c:pt>
                <c:pt idx="57">
                  <c:v>188.03</c:v>
                </c:pt>
                <c:pt idx="58">
                  <c:v>189.42</c:v>
                </c:pt>
                <c:pt idx="59">
                  <c:v>188.13</c:v>
                </c:pt>
                <c:pt idx="60">
                  <c:v>178.11</c:v>
                </c:pt>
                <c:pt idx="61">
                  <c:v>188.88</c:v>
                </c:pt>
                <c:pt idx="62">
                  <c:v>185.23</c:v>
                </c:pt>
                <c:pt idx="63">
                  <c:v>187.04</c:v>
                </c:pt>
                <c:pt idx="64">
                  <c:v>192.32</c:v>
                </c:pt>
                <c:pt idx="65">
                  <c:v>190.22</c:v>
                </c:pt>
                <c:pt idx="66">
                  <c:v>196.42</c:v>
                </c:pt>
                <c:pt idx="67">
                  <c:v>191.99</c:v>
                </c:pt>
                <c:pt idx="68">
                  <c:v>189.81</c:v>
                </c:pt>
                <c:pt idx="69">
                  <c:v>180.65</c:v>
                </c:pt>
                <c:pt idx="70">
                  <c:v>180</c:v>
                </c:pt>
                <c:pt idx="71">
                  <c:v>186.48</c:v>
                </c:pt>
                <c:pt idx="72">
                  <c:v>183.61</c:v>
                </c:pt>
                <c:pt idx="73">
                  <c:v>182.71</c:v>
                </c:pt>
                <c:pt idx="74">
                  <c:v>186.99</c:v>
                </c:pt>
                <c:pt idx="75">
                  <c:v>182.18</c:v>
                </c:pt>
                <c:pt idx="76">
                  <c:v>185.6</c:v>
                </c:pt>
                <c:pt idx="77">
                  <c:v>186.86</c:v>
                </c:pt>
                <c:pt idx="78">
                  <c:v>185.22</c:v>
                </c:pt>
                <c:pt idx="79">
                  <c:v>175.77</c:v>
                </c:pt>
                <c:pt idx="80">
                  <c:v>182.68</c:v>
                </c:pt>
                <c:pt idx="81">
                  <c:v>184.64</c:v>
                </c:pt>
                <c:pt idx="82">
                  <c:v>183.03</c:v>
                </c:pt>
                <c:pt idx="83">
                  <c:v>187.22</c:v>
                </c:pt>
                <c:pt idx="84">
                  <c:v>202.53</c:v>
                </c:pt>
                <c:pt idx="85">
                  <c:v>188.24</c:v>
                </c:pt>
                <c:pt idx="86">
                  <c:v>189.75</c:v>
                </c:pt>
                <c:pt idx="87">
                  <c:v>182.73</c:v>
                </c:pt>
                <c:pt idx="88">
                  <c:v>183.89</c:v>
                </c:pt>
                <c:pt idx="89">
                  <c:v>190.01</c:v>
                </c:pt>
                <c:pt idx="90">
                  <c:v>188.76</c:v>
                </c:pt>
                <c:pt idx="91">
                  <c:v>185.46</c:v>
                </c:pt>
                <c:pt idx="92">
                  <c:v>187.6</c:v>
                </c:pt>
                <c:pt idx="93">
                  <c:v>193.97</c:v>
                </c:pt>
                <c:pt idx="94">
                  <c:v>194.33</c:v>
                </c:pt>
                <c:pt idx="95">
                  <c:v>193.14</c:v>
                </c:pt>
                <c:pt idx="96">
                  <c:v>199.91</c:v>
                </c:pt>
                <c:pt idx="97">
                  <c:v>190.94</c:v>
                </c:pt>
                <c:pt idx="98">
                  <c:v>193.42</c:v>
                </c:pt>
                <c:pt idx="99">
                  <c:v>201.39</c:v>
                </c:pt>
                <c:pt idx="100">
                  <c:v>189.68</c:v>
                </c:pt>
                <c:pt idx="101">
                  <c:v>192.49</c:v>
                </c:pt>
                <c:pt idx="102">
                  <c:v>185.77</c:v>
                </c:pt>
                <c:pt idx="103">
                  <c:v>190.82</c:v>
                </c:pt>
                <c:pt idx="104">
                  <c:v>186.96</c:v>
                </c:pt>
                <c:pt idx="105">
                  <c:v>196.15</c:v>
                </c:pt>
                <c:pt idx="106">
                  <c:v>195.87</c:v>
                </c:pt>
                <c:pt idx="107">
                  <c:v>198.61</c:v>
                </c:pt>
                <c:pt idx="108">
                  <c:v>195.13</c:v>
                </c:pt>
                <c:pt idx="109">
                  <c:v>197.54</c:v>
                </c:pt>
                <c:pt idx="110">
                  <c:v>187.15</c:v>
                </c:pt>
                <c:pt idx="111">
                  <c:v>179.45</c:v>
                </c:pt>
                <c:pt idx="112">
                  <c:v>188.16</c:v>
                </c:pt>
                <c:pt idx="113">
                  <c:v>195.94</c:v>
                </c:pt>
                <c:pt idx="114">
                  <c:v>188.71</c:v>
                </c:pt>
                <c:pt idx="115">
                  <c:v>181.57</c:v>
                </c:pt>
                <c:pt idx="116">
                  <c:v>186.82</c:v>
                </c:pt>
                <c:pt idx="117">
                  <c:v>187.1</c:v>
                </c:pt>
                <c:pt idx="118">
                  <c:v>193.55</c:v>
                </c:pt>
                <c:pt idx="119">
                  <c:v>193.05</c:v>
                </c:pt>
                <c:pt idx="120">
                  <c:v>191.75</c:v>
                </c:pt>
                <c:pt idx="121">
                  <c:v>190.55</c:v>
                </c:pt>
                <c:pt idx="122">
                  <c:v>185.18</c:v>
                </c:pt>
                <c:pt idx="123">
                  <c:v>190.65</c:v>
                </c:pt>
                <c:pt idx="124">
                  <c:v>194.19</c:v>
                </c:pt>
                <c:pt idx="125">
                  <c:v>205.96</c:v>
                </c:pt>
                <c:pt idx="126">
                  <c:v>198.05</c:v>
                </c:pt>
                <c:pt idx="127">
                  <c:v>195.68</c:v>
                </c:pt>
                <c:pt idx="128">
                  <c:v>182.47</c:v>
                </c:pt>
                <c:pt idx="129">
                  <c:v>187.89</c:v>
                </c:pt>
                <c:pt idx="130">
                  <c:v>178.04</c:v>
                </c:pt>
                <c:pt idx="131">
                  <c:v>187.07</c:v>
                </c:pt>
                <c:pt idx="132">
                  <c:v>183.66</c:v>
                </c:pt>
                <c:pt idx="133">
                  <c:v>183.17</c:v>
                </c:pt>
                <c:pt idx="134">
                  <c:v>174.91</c:v>
                </c:pt>
                <c:pt idx="135">
                  <c:v>180.36</c:v>
                </c:pt>
                <c:pt idx="136">
                  <c:v>181.24</c:v>
                </c:pt>
                <c:pt idx="137">
                  <c:v>186.98</c:v>
                </c:pt>
                <c:pt idx="138">
                  <c:v>176.18</c:v>
                </c:pt>
                <c:pt idx="139">
                  <c:v>187.25</c:v>
                </c:pt>
                <c:pt idx="140">
                  <c:v>186.3</c:v>
                </c:pt>
                <c:pt idx="141">
                  <c:v>192.62</c:v>
                </c:pt>
                <c:pt idx="142">
                  <c:v>191</c:v>
                </c:pt>
                <c:pt idx="143">
                  <c:v>194.03</c:v>
                </c:pt>
                <c:pt idx="144">
                  <c:v>194.36</c:v>
                </c:pt>
                <c:pt idx="145">
                  <c:v>192.25</c:v>
                </c:pt>
                <c:pt idx="146">
                  <c:v>187.81</c:v>
                </c:pt>
                <c:pt idx="147">
                  <c:v>188.47</c:v>
                </c:pt>
                <c:pt idx="148">
                  <c:v>180.86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7B50BD66-7E77-4E31-9237-E41E9E670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36903"/>
        <c:axId val="113947143"/>
      </c:scatterChart>
      <c:valAx>
        <c:axId val="113936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7143"/>
        <c:crosses val="autoZero"/>
        <c:crossBetween val="midCat"/>
      </c:valAx>
      <c:valAx>
        <c:axId val="11394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Flux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6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Sheet1!O1</c:f>
              <c:strCache>
                <c:ptCount val="1"/>
                <c:pt idx="0">
                  <c:v>h (W/(m^2 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Sheet1!$M$2:$M$147</c:f>
              <c:numCache>
                <c:formatCode>General</c:formatCode>
                <c:ptCount val="146"/>
                <c:pt idx="0">
                  <c:v>0</c:v>
                </c:pt>
                <c:pt idx="1">
                  <c:v>0.40799999999999992</c:v>
                </c:pt>
                <c:pt idx="2">
                  <c:v>0.81600000000000028</c:v>
                </c:pt>
                <c:pt idx="3">
                  <c:v>1.2239999999999998</c:v>
                </c:pt>
                <c:pt idx="4">
                  <c:v>1.6320000000000001</c:v>
                </c:pt>
                <c:pt idx="5">
                  <c:v>2.0399999999999996</c:v>
                </c:pt>
                <c:pt idx="6">
                  <c:v>2.448</c:v>
                </c:pt>
                <c:pt idx="7">
                  <c:v>2.8560000000000003</c:v>
                </c:pt>
                <c:pt idx="8">
                  <c:v>3.2639999999999998</c:v>
                </c:pt>
                <c:pt idx="9">
                  <c:v>3.6720000000000002</c:v>
                </c:pt>
                <c:pt idx="10">
                  <c:v>4.0790000000000006</c:v>
                </c:pt>
                <c:pt idx="11">
                  <c:v>4.4870000000000001</c:v>
                </c:pt>
                <c:pt idx="12">
                  <c:v>4.8949999999999996</c:v>
                </c:pt>
                <c:pt idx="13">
                  <c:v>5.302999999999999</c:v>
                </c:pt>
                <c:pt idx="14">
                  <c:v>5.7110000000000003</c:v>
                </c:pt>
                <c:pt idx="15">
                  <c:v>6.1189999999999998</c:v>
                </c:pt>
                <c:pt idx="16">
                  <c:v>6.5269999999999992</c:v>
                </c:pt>
                <c:pt idx="17">
                  <c:v>6.9349999999999987</c:v>
                </c:pt>
                <c:pt idx="18">
                  <c:v>7.343</c:v>
                </c:pt>
                <c:pt idx="19">
                  <c:v>7.7509999999999994</c:v>
                </c:pt>
                <c:pt idx="20">
                  <c:v>8.1589999999999989</c:v>
                </c:pt>
                <c:pt idx="21">
                  <c:v>8.5670000000000002</c:v>
                </c:pt>
                <c:pt idx="22">
                  <c:v>8.9740000000000002</c:v>
                </c:pt>
                <c:pt idx="23">
                  <c:v>9.3819999999999997</c:v>
                </c:pt>
                <c:pt idx="24">
                  <c:v>9.7910000000000004</c:v>
                </c:pt>
                <c:pt idx="25">
                  <c:v>10.198</c:v>
                </c:pt>
                <c:pt idx="26">
                  <c:v>10.606</c:v>
                </c:pt>
                <c:pt idx="27">
                  <c:v>11.014999999999999</c:v>
                </c:pt>
                <c:pt idx="28">
                  <c:v>11.421999999999999</c:v>
                </c:pt>
                <c:pt idx="29">
                  <c:v>11.831</c:v>
                </c:pt>
                <c:pt idx="30">
                  <c:v>12.238999999999999</c:v>
                </c:pt>
                <c:pt idx="31">
                  <c:v>12.646000000000001</c:v>
                </c:pt>
                <c:pt idx="32">
                  <c:v>13.053999999999998</c:v>
                </c:pt>
                <c:pt idx="33">
                  <c:v>13.463000000000001</c:v>
                </c:pt>
                <c:pt idx="34">
                  <c:v>13.870999999999999</c:v>
                </c:pt>
                <c:pt idx="35">
                  <c:v>14.277999999999999</c:v>
                </c:pt>
                <c:pt idx="36">
                  <c:v>14.687000000000001</c:v>
                </c:pt>
                <c:pt idx="37">
                  <c:v>15.094999999999999</c:v>
                </c:pt>
                <c:pt idx="38">
                  <c:v>15.503</c:v>
                </c:pt>
                <c:pt idx="39">
                  <c:v>15.91</c:v>
                </c:pt>
                <c:pt idx="40">
                  <c:v>16.318999999999999</c:v>
                </c:pt>
                <c:pt idx="41">
                  <c:v>16.725999999999999</c:v>
                </c:pt>
                <c:pt idx="42">
                  <c:v>17.134999999999998</c:v>
                </c:pt>
                <c:pt idx="43">
                  <c:v>17.542999999999999</c:v>
                </c:pt>
                <c:pt idx="44">
                  <c:v>17.95</c:v>
                </c:pt>
                <c:pt idx="45">
                  <c:v>18.358000000000001</c:v>
                </c:pt>
                <c:pt idx="46">
                  <c:v>18.765999999999998</c:v>
                </c:pt>
                <c:pt idx="47">
                  <c:v>19.173999999999999</c:v>
                </c:pt>
                <c:pt idx="48">
                  <c:v>19.582000000000001</c:v>
                </c:pt>
                <c:pt idx="49">
                  <c:v>19.989999999999998</c:v>
                </c:pt>
                <c:pt idx="50">
                  <c:v>20.398</c:v>
                </c:pt>
                <c:pt idx="51">
                  <c:v>20.806000000000001</c:v>
                </c:pt>
                <c:pt idx="52">
                  <c:v>21.213999999999999</c:v>
                </c:pt>
                <c:pt idx="53">
                  <c:v>21.622</c:v>
                </c:pt>
                <c:pt idx="54">
                  <c:v>22.03</c:v>
                </c:pt>
                <c:pt idx="55">
                  <c:v>22.437999999999999</c:v>
                </c:pt>
                <c:pt idx="56">
                  <c:v>22.846</c:v>
                </c:pt>
                <c:pt idx="57">
                  <c:v>23.254000000000001</c:v>
                </c:pt>
                <c:pt idx="58">
                  <c:v>23.661999999999999</c:v>
                </c:pt>
                <c:pt idx="59">
                  <c:v>24.07</c:v>
                </c:pt>
                <c:pt idx="60">
                  <c:v>24.477999999999998</c:v>
                </c:pt>
                <c:pt idx="61">
                  <c:v>24.885999999999999</c:v>
                </c:pt>
                <c:pt idx="62">
                  <c:v>25.294</c:v>
                </c:pt>
                <c:pt idx="63">
                  <c:v>25.701999999999998</c:v>
                </c:pt>
                <c:pt idx="64">
                  <c:v>26.11</c:v>
                </c:pt>
                <c:pt idx="65">
                  <c:v>26.518000000000001</c:v>
                </c:pt>
                <c:pt idx="66">
                  <c:v>26.925000000000001</c:v>
                </c:pt>
                <c:pt idx="67">
                  <c:v>27.334</c:v>
                </c:pt>
                <c:pt idx="68">
                  <c:v>27.742000000000001</c:v>
                </c:pt>
                <c:pt idx="69">
                  <c:v>28.15</c:v>
                </c:pt>
                <c:pt idx="70">
                  <c:v>28.556999999999999</c:v>
                </c:pt>
                <c:pt idx="71">
                  <c:v>28.965</c:v>
                </c:pt>
                <c:pt idx="72">
                  <c:v>29.373999999999999</c:v>
                </c:pt>
                <c:pt idx="73">
                  <c:v>29.781000000000002</c:v>
                </c:pt>
                <c:pt idx="74">
                  <c:v>30.188999999999997</c:v>
                </c:pt>
                <c:pt idx="75">
                  <c:v>30.596999999999998</c:v>
                </c:pt>
                <c:pt idx="76">
                  <c:v>31.004999999999999</c:v>
                </c:pt>
                <c:pt idx="77">
                  <c:v>31.413</c:v>
                </c:pt>
                <c:pt idx="78">
                  <c:v>31.821000000000002</c:v>
                </c:pt>
                <c:pt idx="79">
                  <c:v>32.229000000000006</c:v>
                </c:pt>
                <c:pt idx="80">
                  <c:v>32.637</c:v>
                </c:pt>
                <c:pt idx="81">
                  <c:v>33.045000000000002</c:v>
                </c:pt>
                <c:pt idx="82">
                  <c:v>33.453000000000003</c:v>
                </c:pt>
                <c:pt idx="83">
                  <c:v>33.861000000000004</c:v>
                </c:pt>
                <c:pt idx="84">
                  <c:v>34.269000000000005</c:v>
                </c:pt>
                <c:pt idx="85">
                  <c:v>34.677</c:v>
                </c:pt>
                <c:pt idx="86">
                  <c:v>35.084000000000003</c:v>
                </c:pt>
                <c:pt idx="87">
                  <c:v>35.492000000000004</c:v>
                </c:pt>
                <c:pt idx="88">
                  <c:v>35.901000000000003</c:v>
                </c:pt>
                <c:pt idx="89">
                  <c:v>36.309000000000005</c:v>
                </c:pt>
                <c:pt idx="90">
                  <c:v>36.716000000000001</c:v>
                </c:pt>
                <c:pt idx="91">
                  <c:v>37.125</c:v>
                </c:pt>
                <c:pt idx="92">
                  <c:v>37.533000000000001</c:v>
                </c:pt>
                <c:pt idx="93">
                  <c:v>37.940000000000005</c:v>
                </c:pt>
                <c:pt idx="94">
                  <c:v>38.349000000000004</c:v>
                </c:pt>
                <c:pt idx="95">
                  <c:v>38.757000000000005</c:v>
                </c:pt>
                <c:pt idx="96">
                  <c:v>39.165000000000006</c:v>
                </c:pt>
                <c:pt idx="97">
                  <c:v>39.573</c:v>
                </c:pt>
                <c:pt idx="98">
                  <c:v>39.980000000000004</c:v>
                </c:pt>
                <c:pt idx="99">
                  <c:v>40.388000000000005</c:v>
                </c:pt>
                <c:pt idx="100">
                  <c:v>40.796000000000006</c:v>
                </c:pt>
                <c:pt idx="101">
                  <c:v>41.204000000000001</c:v>
                </c:pt>
                <c:pt idx="102">
                  <c:v>41.612000000000002</c:v>
                </c:pt>
                <c:pt idx="103">
                  <c:v>42.02</c:v>
                </c:pt>
                <c:pt idx="104">
                  <c:v>42.428000000000004</c:v>
                </c:pt>
                <c:pt idx="105">
                  <c:v>42.836000000000006</c:v>
                </c:pt>
                <c:pt idx="106">
                  <c:v>43.243000000000002</c:v>
                </c:pt>
                <c:pt idx="107">
                  <c:v>43.651000000000003</c:v>
                </c:pt>
                <c:pt idx="108">
                  <c:v>44.059000000000005</c:v>
                </c:pt>
                <c:pt idx="109">
                  <c:v>44.468000000000004</c:v>
                </c:pt>
                <c:pt idx="110">
                  <c:v>44.876000000000005</c:v>
                </c:pt>
                <c:pt idx="111">
                  <c:v>45.284000000000006</c:v>
                </c:pt>
                <c:pt idx="112">
                  <c:v>45.692</c:v>
                </c:pt>
                <c:pt idx="113">
                  <c:v>46.1</c:v>
                </c:pt>
                <c:pt idx="114">
                  <c:v>46.508000000000003</c:v>
                </c:pt>
                <c:pt idx="115">
                  <c:v>46.916000000000004</c:v>
                </c:pt>
                <c:pt idx="116">
                  <c:v>47.324000000000005</c:v>
                </c:pt>
                <c:pt idx="117">
                  <c:v>47.732000000000006</c:v>
                </c:pt>
                <c:pt idx="118">
                  <c:v>48.14</c:v>
                </c:pt>
                <c:pt idx="119">
                  <c:v>48.548000000000002</c:v>
                </c:pt>
                <c:pt idx="120">
                  <c:v>48.956000000000003</c:v>
                </c:pt>
                <c:pt idx="121">
                  <c:v>49.363000000000007</c:v>
                </c:pt>
                <c:pt idx="122">
                  <c:v>49.772000000000006</c:v>
                </c:pt>
                <c:pt idx="123">
                  <c:v>50.179000000000002</c:v>
                </c:pt>
                <c:pt idx="124">
                  <c:v>50.587000000000003</c:v>
                </c:pt>
                <c:pt idx="125">
                  <c:v>50.995000000000005</c:v>
                </c:pt>
                <c:pt idx="126">
                  <c:v>51.404000000000003</c:v>
                </c:pt>
                <c:pt idx="127">
                  <c:v>51.811</c:v>
                </c:pt>
                <c:pt idx="128">
                  <c:v>52.219000000000001</c:v>
                </c:pt>
                <c:pt idx="129">
                  <c:v>52.627000000000002</c:v>
                </c:pt>
                <c:pt idx="130">
                  <c:v>53.035000000000004</c:v>
                </c:pt>
                <c:pt idx="131">
                  <c:v>53.442</c:v>
                </c:pt>
                <c:pt idx="132">
                  <c:v>53.85</c:v>
                </c:pt>
                <c:pt idx="133">
                  <c:v>54.259</c:v>
                </c:pt>
                <c:pt idx="134">
                  <c:v>54.667000000000002</c:v>
                </c:pt>
                <c:pt idx="135">
                  <c:v>55.075000000000003</c:v>
                </c:pt>
                <c:pt idx="136">
                  <c:v>55.483000000000004</c:v>
                </c:pt>
                <c:pt idx="137">
                  <c:v>55.891000000000005</c:v>
                </c:pt>
                <c:pt idx="138">
                  <c:v>56.299000000000007</c:v>
                </c:pt>
                <c:pt idx="139">
                  <c:v>56.707000000000001</c:v>
                </c:pt>
                <c:pt idx="140">
                  <c:v>57.114000000000004</c:v>
                </c:pt>
                <c:pt idx="141">
                  <c:v>57.522000000000006</c:v>
                </c:pt>
                <c:pt idx="142">
                  <c:v>57.93</c:v>
                </c:pt>
                <c:pt idx="143">
                  <c:v>58.338000000000001</c:v>
                </c:pt>
                <c:pt idx="144">
                  <c:v>58.746000000000002</c:v>
                </c:pt>
                <c:pt idx="145">
                  <c:v>59.154000000000003</c:v>
                </c:pt>
              </c:numCache>
            </c:numRef>
          </c:xVal>
          <c:yVal>
            <c:numRef>
              <c:f>Sheet1!$O$2:$O$147</c:f>
              <c:numCache>
                <c:formatCode>General</c:formatCode>
                <c:ptCount val="146"/>
                <c:pt idx="0">
                  <c:v>9.8056621880998076</c:v>
                </c:pt>
                <c:pt idx="1">
                  <c:v>10.01151631477927</c:v>
                </c:pt>
                <c:pt idx="2">
                  <c:v>9.3421305182341658</c:v>
                </c:pt>
                <c:pt idx="3">
                  <c:v>9.3670825335892527</c:v>
                </c:pt>
                <c:pt idx="4">
                  <c:v>9.2341650671785036</c:v>
                </c:pt>
                <c:pt idx="5">
                  <c:v>9.2869481765834934</c:v>
                </c:pt>
                <c:pt idx="6">
                  <c:v>9.3216346153846139</c:v>
                </c:pt>
                <c:pt idx="7">
                  <c:v>9.4616122840690977</c:v>
                </c:pt>
                <c:pt idx="8">
                  <c:v>9.1703454894433793</c:v>
                </c:pt>
                <c:pt idx="9">
                  <c:v>9.7164107485604614</c:v>
                </c:pt>
                <c:pt idx="10">
                  <c:v>9.4827255278310947</c:v>
                </c:pt>
                <c:pt idx="11">
                  <c:v>9.517788461538462</c:v>
                </c:pt>
                <c:pt idx="12">
                  <c:v>9.384357005758158</c:v>
                </c:pt>
                <c:pt idx="13">
                  <c:v>9.6201923076923066</c:v>
                </c:pt>
                <c:pt idx="14">
                  <c:v>9.2997566909975671</c:v>
                </c:pt>
                <c:pt idx="15">
                  <c:v>9.4205925206410885</c:v>
                </c:pt>
                <c:pt idx="16">
                  <c:v>9.4623603691112201</c:v>
                </c:pt>
                <c:pt idx="17">
                  <c:v>9.4586538461538456</c:v>
                </c:pt>
                <c:pt idx="18">
                  <c:v>8.9995133819951327</c:v>
                </c:pt>
                <c:pt idx="19">
                  <c:v>9.3138686131386859</c:v>
                </c:pt>
                <c:pt idx="20">
                  <c:v>8.8129807692307693</c:v>
                </c:pt>
                <c:pt idx="21">
                  <c:v>8.8886756238003848</c:v>
                </c:pt>
                <c:pt idx="22">
                  <c:v>8.8187499999999996</c:v>
                </c:pt>
                <c:pt idx="23">
                  <c:v>9.1937499999999996</c:v>
                </c:pt>
                <c:pt idx="24">
                  <c:v>8.6274038461538449</c:v>
                </c:pt>
                <c:pt idx="25">
                  <c:v>9.3115384615384613</c:v>
                </c:pt>
                <c:pt idx="26">
                  <c:v>9.0575815738963534</c:v>
                </c:pt>
                <c:pt idx="27">
                  <c:v>9.6</c:v>
                </c:pt>
                <c:pt idx="28">
                  <c:v>9.2956730769230766</c:v>
                </c:pt>
                <c:pt idx="29">
                  <c:v>9.4472168905950102</c:v>
                </c:pt>
                <c:pt idx="30">
                  <c:v>9.0153550863723613</c:v>
                </c:pt>
                <c:pt idx="31">
                  <c:v>9.2658653846153847</c:v>
                </c:pt>
                <c:pt idx="32">
                  <c:v>9.2278846153846157</c:v>
                </c:pt>
                <c:pt idx="33">
                  <c:v>9.338291746641076</c:v>
                </c:pt>
                <c:pt idx="34">
                  <c:v>9.2538461538461529</c:v>
                </c:pt>
                <c:pt idx="35">
                  <c:v>9.3267754318618046</c:v>
                </c:pt>
                <c:pt idx="36">
                  <c:v>9.0407869481765832</c:v>
                </c:pt>
                <c:pt idx="37">
                  <c:v>9.169711538461538</c:v>
                </c:pt>
                <c:pt idx="38">
                  <c:v>9.1396353166986568</c:v>
                </c:pt>
                <c:pt idx="39">
                  <c:v>9.5495192307692296</c:v>
                </c:pt>
                <c:pt idx="40">
                  <c:v>9.1727447216890585</c:v>
                </c:pt>
                <c:pt idx="41">
                  <c:v>9.0355086372360844</c:v>
                </c:pt>
                <c:pt idx="42">
                  <c:v>9.1885796545105567</c:v>
                </c:pt>
                <c:pt idx="43">
                  <c:v>9.1041362530413625</c:v>
                </c:pt>
                <c:pt idx="44">
                  <c:v>8.9807692307692317</c:v>
                </c:pt>
                <c:pt idx="45">
                  <c:v>8.8501216545012156</c:v>
                </c:pt>
                <c:pt idx="46">
                  <c:v>9.0625</c:v>
                </c:pt>
                <c:pt idx="47">
                  <c:v>8.827403846153846</c:v>
                </c:pt>
                <c:pt idx="48">
                  <c:v>8.9673704414587334</c:v>
                </c:pt>
                <c:pt idx="49">
                  <c:v>8.8061420345489445</c:v>
                </c:pt>
                <c:pt idx="50">
                  <c:v>9.0985915492957741</c:v>
                </c:pt>
                <c:pt idx="51">
                  <c:v>8.9692307692307693</c:v>
                </c:pt>
                <c:pt idx="52">
                  <c:v>9.0686180422264879</c:v>
                </c:pt>
                <c:pt idx="53">
                  <c:v>9.5104419621175325</c:v>
                </c:pt>
                <c:pt idx="54">
                  <c:v>9.8068126520681265</c:v>
                </c:pt>
                <c:pt idx="55">
                  <c:v>9.5830134357005754</c:v>
                </c:pt>
                <c:pt idx="56">
                  <c:v>9.3263720252549778</c:v>
                </c:pt>
                <c:pt idx="57">
                  <c:v>9.1498783454987827</c:v>
                </c:pt>
                <c:pt idx="58">
                  <c:v>9.2175182481751818</c:v>
                </c:pt>
                <c:pt idx="59">
                  <c:v>9.1369596891694993</c:v>
                </c:pt>
                <c:pt idx="60">
                  <c:v>8.6503156872268097</c:v>
                </c:pt>
                <c:pt idx="61">
                  <c:v>9.1733851384167071</c:v>
                </c:pt>
                <c:pt idx="62">
                  <c:v>8.9961146187469634</c:v>
                </c:pt>
                <c:pt idx="63">
                  <c:v>9.0840213695968917</c:v>
                </c:pt>
                <c:pt idx="64">
                  <c:v>9.3404565322972317</c:v>
                </c:pt>
                <c:pt idx="65">
                  <c:v>9.2384652744050513</c:v>
                </c:pt>
                <c:pt idx="66">
                  <c:v>9.558150851581507</c:v>
                </c:pt>
                <c:pt idx="67">
                  <c:v>9.2125719769673715</c:v>
                </c:pt>
                <c:pt idx="68">
                  <c:v>9.2185526954832451</c:v>
                </c:pt>
                <c:pt idx="69">
                  <c:v>8.6684261036468335</c:v>
                </c:pt>
                <c:pt idx="70">
                  <c:v>8.6372360844529759</c:v>
                </c:pt>
                <c:pt idx="71">
                  <c:v>8.9481765834932823</c:v>
                </c:pt>
                <c:pt idx="72">
                  <c:v>8.9174356483729973</c:v>
                </c:pt>
                <c:pt idx="73">
                  <c:v>8.784134615384616</c:v>
                </c:pt>
                <c:pt idx="74">
                  <c:v>8.9899038461538456</c:v>
                </c:pt>
                <c:pt idx="75">
                  <c:v>8.7418426103646834</c:v>
                </c:pt>
                <c:pt idx="76">
                  <c:v>8.9059500959692901</c:v>
                </c:pt>
                <c:pt idx="77">
                  <c:v>8.9535218016291331</c:v>
                </c:pt>
                <c:pt idx="78">
                  <c:v>8.904807692307692</c:v>
                </c:pt>
                <c:pt idx="79">
                  <c:v>8.5366682855755229</c:v>
                </c:pt>
                <c:pt idx="80">
                  <c:v>8.8722680913064593</c:v>
                </c:pt>
                <c:pt idx="81">
                  <c:v>8.8598848368522063</c:v>
                </c:pt>
                <c:pt idx="82">
                  <c:v>8.7826295585412666</c:v>
                </c:pt>
                <c:pt idx="83">
                  <c:v>8.9836852207293667</c:v>
                </c:pt>
                <c:pt idx="84">
                  <c:v>9.8363283147158818</c:v>
                </c:pt>
                <c:pt idx="85">
                  <c:v>9.0326295585412666</c:v>
                </c:pt>
                <c:pt idx="86">
                  <c:v>9.2156386595434672</c:v>
                </c:pt>
                <c:pt idx="87">
                  <c:v>8.874696454589607</c:v>
                </c:pt>
                <c:pt idx="88">
                  <c:v>8.9310344827586192</c:v>
                </c:pt>
                <c:pt idx="89">
                  <c:v>9.2282661486158322</c:v>
                </c:pt>
                <c:pt idx="90">
                  <c:v>9.1675570665371531</c:v>
                </c:pt>
                <c:pt idx="91">
                  <c:v>8.9941804073714842</c:v>
                </c:pt>
                <c:pt idx="92">
                  <c:v>9.1112190383681391</c:v>
                </c:pt>
                <c:pt idx="93">
                  <c:v>9.4068865179437431</c:v>
                </c:pt>
                <c:pt idx="94">
                  <c:v>9.4243452958292924</c:v>
                </c:pt>
                <c:pt idx="95">
                  <c:v>9.3802816901408441</c:v>
                </c:pt>
                <c:pt idx="96">
                  <c:v>9.7090820786789696</c:v>
                </c:pt>
                <c:pt idx="97">
                  <c:v>9.2599418040737138</c:v>
                </c:pt>
                <c:pt idx="98">
                  <c:v>9.380213385063044</c:v>
                </c:pt>
                <c:pt idx="99">
                  <c:v>9.7809616318601265</c:v>
                </c:pt>
                <c:pt idx="100">
                  <c:v>9.3254670599803351</c:v>
                </c:pt>
                <c:pt idx="101">
                  <c:v>9.46361848574238</c:v>
                </c:pt>
                <c:pt idx="102">
                  <c:v>9.0092143549951498</c:v>
                </c:pt>
                <c:pt idx="103">
                  <c:v>9.3676975945017169</c:v>
                </c:pt>
                <c:pt idx="104">
                  <c:v>9.1782032400589095</c:v>
                </c:pt>
                <c:pt idx="105">
                  <c:v>9.6293568973981341</c:v>
                </c:pt>
                <c:pt idx="106">
                  <c:v>9.6014705882352942</c:v>
                </c:pt>
                <c:pt idx="107">
                  <c:v>9.7645034414945933</c:v>
                </c:pt>
                <c:pt idx="108">
                  <c:v>9.5934119960668625</c:v>
                </c:pt>
                <c:pt idx="109">
                  <c:v>9.6975945017182124</c:v>
                </c:pt>
                <c:pt idx="110">
                  <c:v>9.2878411910669989</c:v>
                </c:pt>
                <c:pt idx="111">
                  <c:v>8.8095238095238084</c:v>
                </c:pt>
                <c:pt idx="112">
                  <c:v>9.3518886679920463</c:v>
                </c:pt>
                <c:pt idx="113">
                  <c:v>9.7385685884691835</c:v>
                </c:pt>
                <c:pt idx="114">
                  <c:v>9.2641138929798714</c:v>
                </c:pt>
                <c:pt idx="115">
                  <c:v>8.9004901960784313</c:v>
                </c:pt>
                <c:pt idx="116">
                  <c:v>9.1713303878252326</c:v>
                </c:pt>
                <c:pt idx="117">
                  <c:v>9.1850760922925865</c:v>
                </c:pt>
                <c:pt idx="118">
                  <c:v>9.5017182130584192</c:v>
                </c:pt>
                <c:pt idx="119">
                  <c:v>9.4771723122238587</c:v>
                </c:pt>
                <c:pt idx="120">
                  <c:v>9.4133529700540013</c:v>
                </c:pt>
                <c:pt idx="121">
                  <c:v>9.354442808051056</c:v>
                </c:pt>
                <c:pt idx="122">
                  <c:v>9.090819833087874</c:v>
                </c:pt>
                <c:pt idx="123">
                  <c:v>9.3593519882179681</c:v>
                </c:pt>
                <c:pt idx="124">
                  <c:v>9.5191176470588239</c:v>
                </c:pt>
                <c:pt idx="125">
                  <c:v>10.110947471772214</c:v>
                </c:pt>
                <c:pt idx="126">
                  <c:v>9.7226313205694641</c:v>
                </c:pt>
                <c:pt idx="127">
                  <c:v>9.5921568627450995</c:v>
                </c:pt>
                <c:pt idx="128">
                  <c:v>8.849175557710959</c:v>
                </c:pt>
                <c:pt idx="129">
                  <c:v>9.2238586156111921</c:v>
                </c:pt>
                <c:pt idx="130">
                  <c:v>8.7403043691703477</c:v>
                </c:pt>
                <c:pt idx="131">
                  <c:v>9.0722599418040737</c:v>
                </c:pt>
                <c:pt idx="132">
                  <c:v>9.01620029455081</c:v>
                </c:pt>
                <c:pt idx="133">
                  <c:v>8.9921453117329389</c:v>
                </c:pt>
                <c:pt idx="134">
                  <c:v>8.5866470299459987</c:v>
                </c:pt>
                <c:pt idx="135">
                  <c:v>8.8541973490427104</c:v>
                </c:pt>
                <c:pt idx="136">
                  <c:v>8.8973981345115369</c:v>
                </c:pt>
                <c:pt idx="137">
                  <c:v>9.179185076092292</c:v>
                </c:pt>
                <c:pt idx="138">
                  <c:v>8.636274509803922</c:v>
                </c:pt>
                <c:pt idx="139">
                  <c:v>9.3066600397614305</c:v>
                </c:pt>
                <c:pt idx="140">
                  <c:v>9.2594433399602387</c:v>
                </c:pt>
                <c:pt idx="141">
                  <c:v>9.4560628375061366</c:v>
                </c:pt>
                <c:pt idx="142">
                  <c:v>9.3903638151425763</c:v>
                </c:pt>
                <c:pt idx="143">
                  <c:v>9.5252822778595974</c:v>
                </c:pt>
                <c:pt idx="144">
                  <c:v>9.5414825724104073</c:v>
                </c:pt>
                <c:pt idx="145">
                  <c:v>9.4378988708885618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501531C3-0C64-4755-92E6-817E6424A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32008"/>
        <c:axId val="1877634056"/>
      </c:scatterChart>
      <c:valAx>
        <c:axId val="187763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34056"/>
        <c:crosses val="autoZero"/>
        <c:crossBetween val="midCat"/>
      </c:valAx>
      <c:valAx>
        <c:axId val="187763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(W/(m^2 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32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8</xdr:row>
      <xdr:rowOff>47625</xdr:rowOff>
    </xdr:from>
    <xdr:to>
      <xdr:col>10</xdr:col>
      <xdr:colOff>161925</xdr:colOff>
      <xdr:row>22</xdr:row>
      <xdr:rowOff>123825</xdr:rowOff>
    </xdr:to>
    <xdr:graphicFrame macro="">
      <xdr:nvGraphicFramePr>
        <xdr:cNvPr id="4" name="Chart 3" descr="Chart type: Scatter. 'T_s', 'T_inf' by 'Time from start'&#10;&#10;Description automatically generated">
          <a:extLst>
            <a:ext uri="{FF2B5EF4-FFF2-40B4-BE49-F238E27FC236}">
              <a16:creationId xmlns:a16="http://schemas.microsoft.com/office/drawing/2014/main" id="{8981C489-F378-0968-9BC3-C88F5C596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552450</xdr:colOff>
      <xdr:row>24</xdr:row>
      <xdr:rowOff>57150</xdr:rowOff>
    </xdr:from>
    <xdr:to>
      <xdr:col>10</xdr:col>
      <xdr:colOff>142875</xdr:colOff>
      <xdr:row>38</xdr:row>
      <xdr:rowOff>133350</xdr:rowOff>
    </xdr:to>
    <xdr:graphicFrame macro="">
      <xdr:nvGraphicFramePr>
        <xdr:cNvPr id="6" name="Chart 5" descr="Chart type: Scatter. 'Flux (W/m^2)' by 'Time from start'&#10;&#10;Description automatically generated">
          <a:extLst>
            <a:ext uri="{FF2B5EF4-FFF2-40B4-BE49-F238E27FC236}">
              <a16:creationId xmlns:a16="http://schemas.microsoft.com/office/drawing/2014/main" id="{C83CE471-F017-9635-3F92-BBED302A715B}"/>
            </a:ext>
            <a:ext uri="{147F2762-F138-4A5C-976F-8EAC2B608ADB}">
              <a16:predDERef xmlns:a16="http://schemas.microsoft.com/office/drawing/2014/main" pred="{8981C489-F378-0968-9BC3-C88F5C596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57150</xdr:rowOff>
    </xdr:from>
    <xdr:to>
      <xdr:col>4</xdr:col>
      <xdr:colOff>1076325</xdr:colOff>
      <xdr:row>28</xdr:row>
      <xdr:rowOff>133350</xdr:rowOff>
    </xdr:to>
    <xdr:graphicFrame macro="">
      <xdr:nvGraphicFramePr>
        <xdr:cNvPr id="2" name="Chart 1" descr="Chart type: Scatter. 'h (W/(m^2 K)' by 'Time from start2'&#10;&#10;Description automatically generated">
          <a:extLst>
            <a:ext uri="{FF2B5EF4-FFF2-40B4-BE49-F238E27FC236}">
              <a16:creationId xmlns:a16="http://schemas.microsoft.com/office/drawing/2014/main" id="{D0701932-3BB4-9DBF-9CC3-F600CB1B2581}"/>
            </a:ext>
            <a:ext uri="{147F2762-F138-4A5C-976F-8EAC2B608ADB}">
              <a16:predDERef xmlns:a16="http://schemas.microsoft.com/office/drawing/2014/main" pred="{C83CE471-F017-9635-3F92-BBED302A7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6E11-31E5-4E9E-9EFB-BA00313EBBC9}">
  <dimension ref="D1:U150"/>
  <sheetViews>
    <sheetView tabSelected="1" topLeftCell="N1" workbookViewId="0">
      <selection activeCell="R9" sqref="R9"/>
    </sheetView>
  </sheetViews>
  <sheetFormatPr defaultRowHeight="15"/>
  <cols>
    <col min="4" max="4" width="25" bestFit="1" customWidth="1"/>
    <col min="5" max="5" width="23.28515625" bestFit="1" customWidth="1"/>
    <col min="6" max="6" width="14.85546875" bestFit="1" customWidth="1"/>
    <col min="11" max="11" width="13" bestFit="1" customWidth="1"/>
    <col min="12" max="12" width="15" bestFit="1" customWidth="1"/>
    <col min="13" max="13" width="14.85546875" bestFit="1" customWidth="1"/>
    <col min="14" max="14" width="13" bestFit="1" customWidth="1"/>
    <col min="17" max="17" width="20.28515625" bestFit="1" customWidth="1"/>
    <col min="18" max="18" width="21.85546875" bestFit="1" customWidth="1"/>
    <col min="19" max="19" width="23.42578125" bestFit="1" customWidth="1"/>
    <col min="20" max="20" width="18.85546875" bestFit="1" customWidth="1"/>
    <col min="21" max="21" width="19.42578125" bestFit="1" customWidth="1"/>
  </cols>
  <sheetData>
    <row r="1" spans="4:21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0</v>
      </c>
      <c r="K1" t="s">
        <v>5</v>
      </c>
      <c r="L1" t="s">
        <v>6</v>
      </c>
      <c r="M1" t="s">
        <v>1</v>
      </c>
      <c r="N1" t="s">
        <v>5</v>
      </c>
      <c r="O1" t="s">
        <v>7</v>
      </c>
    </row>
    <row r="2" spans="4:21">
      <c r="D2" s="1" t="s">
        <v>8</v>
      </c>
      <c r="E2">
        <f>60*VALUE(MID(D2,4,2))+VALUE(MID(D2,7,6))</f>
        <v>22.86</v>
      </c>
      <c r="F2">
        <f>E2-E$2</f>
        <v>0</v>
      </c>
      <c r="G2">
        <f>VALUE(RIGHT(D2,5))</f>
        <v>24.16</v>
      </c>
      <c r="H2">
        <f>VALUE(MID(D2,16,6))</f>
        <v>45</v>
      </c>
      <c r="I2">
        <f>H2-G2</f>
        <v>20.84</v>
      </c>
      <c r="J2">
        <v>3.73</v>
      </c>
      <c r="K2">
        <v>204.35</v>
      </c>
      <c r="L2">
        <v>88.57</v>
      </c>
      <c r="M2">
        <f>J2-3.73</f>
        <v>0</v>
      </c>
      <c r="N2">
        <v>204.35</v>
      </c>
      <c r="O2">
        <f>N2/I2</f>
        <v>9.8056621880998076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</row>
    <row r="3" spans="4:21">
      <c r="D3" s="1" t="s">
        <v>14</v>
      </c>
      <c r="E3">
        <f t="shared" ref="E3:E66" si="0">60*VALUE(MID(D3,4,2))+VALUE(MID(D3,7,6))</f>
        <v>23.268999999999998</v>
      </c>
      <c r="F3">
        <f t="shared" ref="F3:F66" si="1">E3-E$2</f>
        <v>0.40899999999999892</v>
      </c>
      <c r="G3">
        <f t="shared" ref="G3:G66" si="2">VALUE(RIGHT(D3,5))</f>
        <v>24.16</v>
      </c>
      <c r="H3">
        <f t="shared" ref="H3:H66" si="3">VALUE(MID(D3,16,6))</f>
        <v>45</v>
      </c>
      <c r="I3">
        <f t="shared" ref="I3:I66" si="4">H3-G3</f>
        <v>20.84</v>
      </c>
      <c r="J3">
        <v>4.1379999999999999</v>
      </c>
      <c r="K3">
        <v>208.64</v>
      </c>
      <c r="L3">
        <v>73.55</v>
      </c>
      <c r="M3">
        <f t="shared" ref="M3:M66" si="5">J3-3.73</f>
        <v>0.40799999999999992</v>
      </c>
      <c r="N3">
        <v>208.64</v>
      </c>
      <c r="O3">
        <f t="shared" ref="O3:O66" si="6">N3/I3</f>
        <v>10.01151631477927</v>
      </c>
      <c r="Q3" s="2">
        <f>AVERAGE(G2:G147)</f>
        <v>24.1578767123288</v>
      </c>
      <c r="R3" s="2">
        <f>AVERAGE(H2:H147)</f>
        <v>44.770547945205479</v>
      </c>
      <c r="S3" s="2">
        <f>R3-Q3</f>
        <v>20.612671232876679</v>
      </c>
      <c r="T3" s="2">
        <f>AVERAGE(N2:N147)</f>
        <v>190.02650684931498</v>
      </c>
      <c r="U3" s="2">
        <f>AVERAGE(O2:O147)</f>
        <v>9.2195826141047199</v>
      </c>
    </row>
    <row r="4" spans="4:21">
      <c r="D4" s="1" t="s">
        <v>15</v>
      </c>
      <c r="E4">
        <f t="shared" si="0"/>
        <v>23.731000000000002</v>
      </c>
      <c r="F4">
        <f t="shared" si="1"/>
        <v>0.87100000000000222</v>
      </c>
      <c r="G4">
        <f t="shared" si="2"/>
        <v>24.16</v>
      </c>
      <c r="H4">
        <f t="shared" si="3"/>
        <v>45</v>
      </c>
      <c r="I4">
        <f t="shared" si="4"/>
        <v>20.84</v>
      </c>
      <c r="J4">
        <v>4.5460000000000003</v>
      </c>
      <c r="K4">
        <v>194.69</v>
      </c>
      <c r="L4">
        <v>86.09</v>
      </c>
      <c r="M4">
        <f t="shared" si="5"/>
        <v>0.81600000000000028</v>
      </c>
      <c r="N4">
        <v>194.69</v>
      </c>
      <c r="O4">
        <f t="shared" si="6"/>
        <v>9.3421305182341658</v>
      </c>
      <c r="Q4" s="3"/>
      <c r="R4" s="3"/>
      <c r="S4" s="3"/>
      <c r="T4" s="3"/>
      <c r="U4" s="3"/>
    </row>
    <row r="5" spans="4:21">
      <c r="D5" s="1" t="s">
        <v>16</v>
      </c>
      <c r="E5">
        <f t="shared" si="0"/>
        <v>24.135999999999999</v>
      </c>
      <c r="F5">
        <f t="shared" si="1"/>
        <v>1.2759999999999998</v>
      </c>
      <c r="G5">
        <f t="shared" si="2"/>
        <v>24.16</v>
      </c>
      <c r="H5">
        <f t="shared" si="3"/>
        <v>45</v>
      </c>
      <c r="I5">
        <f t="shared" si="4"/>
        <v>20.84</v>
      </c>
      <c r="J5">
        <v>4.9539999999999997</v>
      </c>
      <c r="K5">
        <v>195.21</v>
      </c>
      <c r="L5">
        <v>80.02</v>
      </c>
      <c r="M5">
        <f t="shared" si="5"/>
        <v>1.2239999999999998</v>
      </c>
      <c r="N5">
        <v>195.21</v>
      </c>
      <c r="O5">
        <f t="shared" si="6"/>
        <v>9.3670825335892527</v>
      </c>
    </row>
    <row r="6" spans="4:21">
      <c r="D6" s="1" t="s">
        <v>17</v>
      </c>
      <c r="E6">
        <f t="shared" si="0"/>
        <v>24.526</v>
      </c>
      <c r="F6">
        <f t="shared" si="1"/>
        <v>1.6660000000000004</v>
      </c>
      <c r="G6">
        <f t="shared" si="2"/>
        <v>24.16</v>
      </c>
      <c r="H6">
        <f t="shared" si="3"/>
        <v>45</v>
      </c>
      <c r="I6">
        <f t="shared" si="4"/>
        <v>20.84</v>
      </c>
      <c r="J6">
        <v>5.3620000000000001</v>
      </c>
      <c r="K6">
        <v>192.44</v>
      </c>
      <c r="L6">
        <v>82.39</v>
      </c>
      <c r="M6">
        <f t="shared" si="5"/>
        <v>1.6320000000000001</v>
      </c>
      <c r="N6">
        <v>192.44</v>
      </c>
      <c r="O6">
        <f t="shared" si="6"/>
        <v>9.2341650671785036</v>
      </c>
    </row>
    <row r="7" spans="4:21">
      <c r="D7" s="1" t="s">
        <v>18</v>
      </c>
      <c r="E7">
        <f t="shared" si="0"/>
        <v>24.93</v>
      </c>
      <c r="F7">
        <f t="shared" si="1"/>
        <v>2.0700000000000003</v>
      </c>
      <c r="G7">
        <f t="shared" si="2"/>
        <v>24.16</v>
      </c>
      <c r="H7">
        <f t="shared" si="3"/>
        <v>45</v>
      </c>
      <c r="I7">
        <f t="shared" si="4"/>
        <v>20.84</v>
      </c>
      <c r="J7">
        <v>5.77</v>
      </c>
      <c r="K7">
        <v>193.54</v>
      </c>
      <c r="L7">
        <v>80.16</v>
      </c>
      <c r="M7">
        <f t="shared" si="5"/>
        <v>2.0399999999999996</v>
      </c>
      <c r="N7">
        <v>193.54</v>
      </c>
      <c r="O7">
        <f t="shared" si="6"/>
        <v>9.2869481765834934</v>
      </c>
    </row>
    <row r="8" spans="4:21">
      <c r="D8" s="1" t="s">
        <v>19</v>
      </c>
      <c r="E8">
        <f t="shared" si="0"/>
        <v>25.367000000000001</v>
      </c>
      <c r="F8">
        <f t="shared" si="1"/>
        <v>2.5070000000000014</v>
      </c>
      <c r="G8">
        <f t="shared" si="2"/>
        <v>24.2</v>
      </c>
      <c r="H8">
        <f t="shared" si="3"/>
        <v>45</v>
      </c>
      <c r="I8">
        <f t="shared" si="4"/>
        <v>20.8</v>
      </c>
      <c r="J8">
        <v>6.1779999999999999</v>
      </c>
      <c r="K8">
        <v>193.89</v>
      </c>
      <c r="L8">
        <v>82.52</v>
      </c>
      <c r="M8">
        <f t="shared" si="5"/>
        <v>2.448</v>
      </c>
      <c r="N8">
        <v>193.89</v>
      </c>
      <c r="O8">
        <f t="shared" si="6"/>
        <v>9.3216346153846139</v>
      </c>
    </row>
    <row r="9" spans="4:21">
      <c r="D9" s="1" t="s">
        <v>20</v>
      </c>
      <c r="E9">
        <f t="shared" si="0"/>
        <v>25.731999999999999</v>
      </c>
      <c r="F9">
        <f t="shared" si="1"/>
        <v>2.8719999999999999</v>
      </c>
      <c r="G9">
        <f t="shared" si="2"/>
        <v>24.16</v>
      </c>
      <c r="H9">
        <f t="shared" si="3"/>
        <v>45</v>
      </c>
      <c r="I9">
        <f t="shared" si="4"/>
        <v>20.84</v>
      </c>
      <c r="J9">
        <v>6.5860000000000003</v>
      </c>
      <c r="K9">
        <v>197.18</v>
      </c>
      <c r="L9">
        <v>81</v>
      </c>
      <c r="M9">
        <f t="shared" si="5"/>
        <v>2.8560000000000003</v>
      </c>
      <c r="N9">
        <v>197.18</v>
      </c>
      <c r="O9">
        <f t="shared" si="6"/>
        <v>9.4616122840690977</v>
      </c>
    </row>
    <row r="10" spans="4:21">
      <c r="D10" s="1" t="s">
        <v>21</v>
      </c>
      <c r="E10">
        <f t="shared" si="0"/>
        <v>26.143999999999998</v>
      </c>
      <c r="F10">
        <f t="shared" si="1"/>
        <v>3.2839999999999989</v>
      </c>
      <c r="G10">
        <f t="shared" si="2"/>
        <v>24.16</v>
      </c>
      <c r="H10">
        <f t="shared" si="3"/>
        <v>45</v>
      </c>
      <c r="I10">
        <f t="shared" si="4"/>
        <v>20.84</v>
      </c>
      <c r="J10">
        <v>6.9939999999999998</v>
      </c>
      <c r="K10">
        <v>191.11</v>
      </c>
      <c r="L10">
        <v>91.83</v>
      </c>
      <c r="M10">
        <f t="shared" si="5"/>
        <v>3.2639999999999998</v>
      </c>
      <c r="N10">
        <v>191.11</v>
      </c>
      <c r="O10">
        <f t="shared" si="6"/>
        <v>9.1703454894433793</v>
      </c>
    </row>
    <row r="11" spans="4:21">
      <c r="D11" s="1" t="s">
        <v>22</v>
      </c>
      <c r="E11">
        <f t="shared" si="0"/>
        <v>26.553999999999998</v>
      </c>
      <c r="F11">
        <f t="shared" si="1"/>
        <v>3.6939999999999991</v>
      </c>
      <c r="G11">
        <f t="shared" si="2"/>
        <v>24.16</v>
      </c>
      <c r="H11">
        <f t="shared" si="3"/>
        <v>45</v>
      </c>
      <c r="I11">
        <f t="shared" si="4"/>
        <v>20.84</v>
      </c>
      <c r="J11">
        <v>7.4020000000000001</v>
      </c>
      <c r="K11">
        <v>202.49</v>
      </c>
      <c r="L11">
        <v>72.819999999999993</v>
      </c>
      <c r="M11">
        <f t="shared" si="5"/>
        <v>3.6720000000000002</v>
      </c>
      <c r="N11">
        <v>202.49</v>
      </c>
      <c r="O11">
        <f t="shared" si="6"/>
        <v>9.7164107485604614</v>
      </c>
    </row>
    <row r="12" spans="4:21">
      <c r="D12" s="1" t="s">
        <v>23</v>
      </c>
      <c r="E12">
        <f t="shared" si="0"/>
        <v>26.998999999999999</v>
      </c>
      <c r="F12">
        <f t="shared" si="1"/>
        <v>4.1389999999999993</v>
      </c>
      <c r="G12">
        <f t="shared" si="2"/>
        <v>24.16</v>
      </c>
      <c r="H12">
        <f t="shared" si="3"/>
        <v>45</v>
      </c>
      <c r="I12">
        <f t="shared" si="4"/>
        <v>20.84</v>
      </c>
      <c r="J12">
        <v>7.8090000000000002</v>
      </c>
      <c r="K12">
        <v>197.62</v>
      </c>
      <c r="L12">
        <v>79.819999999999993</v>
      </c>
      <c r="M12">
        <f t="shared" si="5"/>
        <v>4.0790000000000006</v>
      </c>
      <c r="N12">
        <v>197.62</v>
      </c>
      <c r="O12">
        <f t="shared" si="6"/>
        <v>9.4827255278310947</v>
      </c>
    </row>
    <row r="13" spans="4:21">
      <c r="D13" s="1" t="s">
        <v>24</v>
      </c>
      <c r="E13">
        <f t="shared" si="0"/>
        <v>27.404</v>
      </c>
      <c r="F13">
        <f t="shared" si="1"/>
        <v>4.5440000000000005</v>
      </c>
      <c r="G13">
        <f t="shared" si="2"/>
        <v>24.2</v>
      </c>
      <c r="H13">
        <f t="shared" si="3"/>
        <v>45</v>
      </c>
      <c r="I13">
        <f t="shared" si="4"/>
        <v>20.8</v>
      </c>
      <c r="J13">
        <v>8.2170000000000005</v>
      </c>
      <c r="K13">
        <v>197.97</v>
      </c>
      <c r="L13">
        <v>75.88</v>
      </c>
      <c r="M13">
        <f t="shared" si="5"/>
        <v>4.4870000000000001</v>
      </c>
      <c r="N13">
        <v>197.97</v>
      </c>
      <c r="O13">
        <f t="shared" si="6"/>
        <v>9.517788461538462</v>
      </c>
    </row>
    <row r="14" spans="4:21">
      <c r="D14" s="1" t="s">
        <v>25</v>
      </c>
      <c r="E14">
        <f t="shared" si="0"/>
        <v>27.785</v>
      </c>
      <c r="F14">
        <f t="shared" si="1"/>
        <v>4.9250000000000007</v>
      </c>
      <c r="G14">
        <f t="shared" si="2"/>
        <v>24.16</v>
      </c>
      <c r="H14">
        <f t="shared" si="3"/>
        <v>45</v>
      </c>
      <c r="I14">
        <f t="shared" si="4"/>
        <v>20.84</v>
      </c>
      <c r="J14">
        <v>8.625</v>
      </c>
      <c r="K14">
        <v>195.57</v>
      </c>
      <c r="L14">
        <v>85.97</v>
      </c>
      <c r="M14">
        <f t="shared" si="5"/>
        <v>4.8949999999999996</v>
      </c>
      <c r="N14">
        <v>195.57</v>
      </c>
      <c r="O14">
        <f t="shared" si="6"/>
        <v>9.384357005758158</v>
      </c>
    </row>
    <row r="15" spans="4:21">
      <c r="D15" s="1" t="s">
        <v>26</v>
      </c>
      <c r="E15">
        <f t="shared" si="0"/>
        <v>28.195</v>
      </c>
      <c r="F15">
        <f t="shared" si="1"/>
        <v>5.3350000000000009</v>
      </c>
      <c r="G15">
        <f t="shared" si="2"/>
        <v>24.2</v>
      </c>
      <c r="H15">
        <f t="shared" si="3"/>
        <v>45</v>
      </c>
      <c r="I15">
        <f t="shared" si="4"/>
        <v>20.8</v>
      </c>
      <c r="J15">
        <v>9.0329999999999995</v>
      </c>
      <c r="K15">
        <v>200.1</v>
      </c>
      <c r="L15">
        <v>75.86</v>
      </c>
      <c r="M15">
        <f t="shared" si="5"/>
        <v>5.302999999999999</v>
      </c>
      <c r="N15">
        <v>200.1</v>
      </c>
      <c r="O15">
        <f t="shared" si="6"/>
        <v>9.6201923076923066</v>
      </c>
    </row>
    <row r="16" spans="4:21">
      <c r="D16" s="1" t="s">
        <v>27</v>
      </c>
      <c r="E16">
        <f t="shared" si="0"/>
        <v>28.632000000000001</v>
      </c>
      <c r="F16">
        <f t="shared" si="1"/>
        <v>5.772000000000002</v>
      </c>
      <c r="G16">
        <f t="shared" si="2"/>
        <v>24.2</v>
      </c>
      <c r="H16">
        <f t="shared" si="3"/>
        <v>44.75</v>
      </c>
      <c r="I16">
        <f t="shared" si="4"/>
        <v>20.55</v>
      </c>
      <c r="J16">
        <v>9.4410000000000007</v>
      </c>
      <c r="K16">
        <v>191.11</v>
      </c>
      <c r="L16">
        <v>90.87</v>
      </c>
      <c r="M16">
        <f t="shared" si="5"/>
        <v>5.7110000000000003</v>
      </c>
      <c r="N16">
        <v>191.11</v>
      </c>
      <c r="O16">
        <f t="shared" si="6"/>
        <v>9.2997566909975671</v>
      </c>
    </row>
    <row r="17" spans="4:15">
      <c r="D17" s="1" t="s">
        <v>28</v>
      </c>
      <c r="E17">
        <f t="shared" si="0"/>
        <v>29.013999999999999</v>
      </c>
      <c r="F17">
        <f t="shared" si="1"/>
        <v>6.1539999999999999</v>
      </c>
      <c r="G17">
        <f t="shared" si="2"/>
        <v>24.16</v>
      </c>
      <c r="H17">
        <f t="shared" si="3"/>
        <v>44.75</v>
      </c>
      <c r="I17">
        <f t="shared" si="4"/>
        <v>20.59</v>
      </c>
      <c r="J17">
        <v>9.8490000000000002</v>
      </c>
      <c r="K17">
        <v>193.97</v>
      </c>
      <c r="L17">
        <v>80.77</v>
      </c>
      <c r="M17">
        <f t="shared" si="5"/>
        <v>6.1189999999999998</v>
      </c>
      <c r="N17">
        <v>193.97</v>
      </c>
      <c r="O17">
        <f t="shared" si="6"/>
        <v>9.4205925206410885</v>
      </c>
    </row>
    <row r="18" spans="4:15">
      <c r="D18" s="1" t="s">
        <v>29</v>
      </c>
      <c r="E18">
        <f t="shared" si="0"/>
        <v>29.422999999999998</v>
      </c>
      <c r="F18">
        <f t="shared" si="1"/>
        <v>6.5629999999999988</v>
      </c>
      <c r="G18">
        <f t="shared" si="2"/>
        <v>24.16</v>
      </c>
      <c r="H18">
        <f t="shared" si="3"/>
        <v>44.75</v>
      </c>
      <c r="I18">
        <f t="shared" si="4"/>
        <v>20.59</v>
      </c>
      <c r="J18">
        <v>10.257</v>
      </c>
      <c r="K18">
        <v>194.83</v>
      </c>
      <c r="L18">
        <v>82.48</v>
      </c>
      <c r="M18">
        <f t="shared" si="5"/>
        <v>6.5269999999999992</v>
      </c>
      <c r="N18">
        <v>194.83</v>
      </c>
      <c r="O18">
        <f t="shared" si="6"/>
        <v>9.4623603691112201</v>
      </c>
    </row>
    <row r="19" spans="4:15">
      <c r="D19" s="1" t="s">
        <v>30</v>
      </c>
      <c r="E19">
        <f t="shared" si="0"/>
        <v>29.88</v>
      </c>
      <c r="F19">
        <f t="shared" si="1"/>
        <v>7.02</v>
      </c>
      <c r="G19">
        <f t="shared" si="2"/>
        <v>24.2</v>
      </c>
      <c r="H19">
        <f t="shared" si="3"/>
        <v>45</v>
      </c>
      <c r="I19">
        <f t="shared" si="4"/>
        <v>20.8</v>
      </c>
      <c r="J19">
        <v>10.664999999999999</v>
      </c>
      <c r="K19">
        <v>196.74</v>
      </c>
      <c r="L19">
        <v>79</v>
      </c>
      <c r="M19">
        <f t="shared" si="5"/>
        <v>6.9349999999999987</v>
      </c>
      <c r="N19">
        <v>196.74</v>
      </c>
      <c r="O19">
        <f t="shared" si="6"/>
        <v>9.4586538461538456</v>
      </c>
    </row>
    <row r="20" spans="4:15">
      <c r="D20" s="1" t="s">
        <v>31</v>
      </c>
      <c r="E20">
        <f t="shared" si="0"/>
        <v>30.247</v>
      </c>
      <c r="F20">
        <f t="shared" si="1"/>
        <v>7.3870000000000005</v>
      </c>
      <c r="G20">
        <f t="shared" si="2"/>
        <v>24.2</v>
      </c>
      <c r="H20">
        <f t="shared" si="3"/>
        <v>44.75</v>
      </c>
      <c r="I20">
        <f t="shared" si="4"/>
        <v>20.55</v>
      </c>
      <c r="J20">
        <v>11.073</v>
      </c>
      <c r="K20">
        <v>184.94</v>
      </c>
      <c r="L20">
        <v>95.15</v>
      </c>
      <c r="M20">
        <f t="shared" si="5"/>
        <v>7.343</v>
      </c>
      <c r="N20">
        <v>184.94</v>
      </c>
      <c r="O20">
        <f t="shared" si="6"/>
        <v>8.9995133819951327</v>
      </c>
    </row>
    <row r="21" spans="4:15">
      <c r="D21" s="1" t="s">
        <v>32</v>
      </c>
      <c r="E21">
        <f t="shared" si="0"/>
        <v>30.655999999999999</v>
      </c>
      <c r="F21">
        <f t="shared" si="1"/>
        <v>7.7959999999999994</v>
      </c>
      <c r="G21">
        <f t="shared" si="2"/>
        <v>24.2</v>
      </c>
      <c r="H21">
        <f t="shared" si="3"/>
        <v>44.75</v>
      </c>
      <c r="I21">
        <f t="shared" si="4"/>
        <v>20.55</v>
      </c>
      <c r="J21">
        <v>11.481</v>
      </c>
      <c r="K21">
        <v>191.4</v>
      </c>
      <c r="L21">
        <v>77.09</v>
      </c>
      <c r="M21">
        <f t="shared" si="5"/>
        <v>7.7509999999999994</v>
      </c>
      <c r="N21">
        <v>191.4</v>
      </c>
      <c r="O21">
        <f t="shared" si="6"/>
        <v>9.3138686131386859</v>
      </c>
    </row>
    <row r="22" spans="4:15">
      <c r="D22" s="1" t="s">
        <v>33</v>
      </c>
      <c r="E22">
        <f t="shared" si="0"/>
        <v>31.109000000000002</v>
      </c>
      <c r="F22">
        <f t="shared" si="1"/>
        <v>8.2490000000000023</v>
      </c>
      <c r="G22">
        <f t="shared" si="2"/>
        <v>24.2</v>
      </c>
      <c r="H22">
        <f t="shared" si="3"/>
        <v>45</v>
      </c>
      <c r="I22">
        <f t="shared" si="4"/>
        <v>20.8</v>
      </c>
      <c r="J22">
        <v>11.888999999999999</v>
      </c>
      <c r="K22">
        <v>183.31</v>
      </c>
      <c r="L22">
        <v>84.4</v>
      </c>
      <c r="M22">
        <f t="shared" si="5"/>
        <v>8.1589999999999989</v>
      </c>
      <c r="N22">
        <v>183.31</v>
      </c>
      <c r="O22">
        <f t="shared" si="6"/>
        <v>8.8129807692307693</v>
      </c>
    </row>
    <row r="23" spans="4:15">
      <c r="D23" s="1" t="s">
        <v>34</v>
      </c>
      <c r="E23">
        <f t="shared" si="0"/>
        <v>31.474</v>
      </c>
      <c r="F23">
        <f t="shared" si="1"/>
        <v>8.6140000000000008</v>
      </c>
      <c r="G23">
        <f t="shared" si="2"/>
        <v>24.16</v>
      </c>
      <c r="H23">
        <f t="shared" si="3"/>
        <v>45</v>
      </c>
      <c r="I23">
        <f t="shared" si="4"/>
        <v>20.84</v>
      </c>
      <c r="J23">
        <v>12.297000000000001</v>
      </c>
      <c r="K23">
        <v>185.24</v>
      </c>
      <c r="L23">
        <v>76.36</v>
      </c>
      <c r="M23">
        <f t="shared" si="5"/>
        <v>8.5670000000000002</v>
      </c>
      <c r="N23">
        <v>185.24</v>
      </c>
      <c r="O23">
        <f t="shared" si="6"/>
        <v>8.8886756238003848</v>
      </c>
    </row>
    <row r="24" spans="4:15">
      <c r="D24" s="1" t="s">
        <v>35</v>
      </c>
      <c r="E24">
        <f t="shared" si="0"/>
        <v>31.92</v>
      </c>
      <c r="F24">
        <f t="shared" si="1"/>
        <v>9.0600000000000023</v>
      </c>
      <c r="G24">
        <f t="shared" si="2"/>
        <v>24.2</v>
      </c>
      <c r="H24">
        <f t="shared" si="3"/>
        <v>45</v>
      </c>
      <c r="I24">
        <f t="shared" si="4"/>
        <v>20.8</v>
      </c>
      <c r="J24">
        <v>12.704000000000001</v>
      </c>
      <c r="K24">
        <v>183.43</v>
      </c>
      <c r="L24">
        <v>79.73</v>
      </c>
      <c r="M24">
        <f t="shared" si="5"/>
        <v>8.9740000000000002</v>
      </c>
      <c r="N24">
        <v>183.43</v>
      </c>
      <c r="O24">
        <f t="shared" si="6"/>
        <v>8.8187499999999996</v>
      </c>
    </row>
    <row r="25" spans="4:15">
      <c r="D25" s="1" t="s">
        <v>36</v>
      </c>
      <c r="E25">
        <f t="shared" si="0"/>
        <v>32.325000000000003</v>
      </c>
      <c r="F25">
        <f t="shared" si="1"/>
        <v>9.4650000000000034</v>
      </c>
      <c r="G25">
        <f t="shared" si="2"/>
        <v>24.2</v>
      </c>
      <c r="H25">
        <f t="shared" si="3"/>
        <v>45</v>
      </c>
      <c r="I25">
        <f t="shared" si="4"/>
        <v>20.8</v>
      </c>
      <c r="J25">
        <v>13.112</v>
      </c>
      <c r="K25">
        <v>191.23</v>
      </c>
      <c r="L25">
        <v>76.319999999999993</v>
      </c>
      <c r="M25">
        <f t="shared" si="5"/>
        <v>9.3819999999999997</v>
      </c>
      <c r="N25">
        <v>191.23</v>
      </c>
      <c r="O25">
        <f t="shared" si="6"/>
        <v>9.1937499999999996</v>
      </c>
    </row>
    <row r="26" spans="4:15">
      <c r="D26" s="1" t="s">
        <v>37</v>
      </c>
      <c r="E26">
        <f t="shared" si="0"/>
        <v>32.731999999999999</v>
      </c>
      <c r="F26">
        <f t="shared" si="1"/>
        <v>9.8719999999999999</v>
      </c>
      <c r="G26">
        <f t="shared" si="2"/>
        <v>24.2</v>
      </c>
      <c r="H26">
        <f t="shared" si="3"/>
        <v>45</v>
      </c>
      <c r="I26">
        <f t="shared" si="4"/>
        <v>20.8</v>
      </c>
      <c r="J26">
        <v>13.521000000000001</v>
      </c>
      <c r="K26">
        <v>179.45</v>
      </c>
      <c r="L26">
        <v>105.35</v>
      </c>
      <c r="M26">
        <f t="shared" si="5"/>
        <v>9.7910000000000004</v>
      </c>
      <c r="N26">
        <v>179.45</v>
      </c>
      <c r="O26">
        <f t="shared" si="6"/>
        <v>8.6274038461538449</v>
      </c>
    </row>
    <row r="27" spans="4:15">
      <c r="D27" s="1" t="s">
        <v>38</v>
      </c>
      <c r="E27">
        <f t="shared" si="0"/>
        <v>33.116999999999997</v>
      </c>
      <c r="F27">
        <f t="shared" si="1"/>
        <v>10.256999999999998</v>
      </c>
      <c r="G27">
        <f t="shared" si="2"/>
        <v>24.2</v>
      </c>
      <c r="H27">
        <f t="shared" si="3"/>
        <v>45</v>
      </c>
      <c r="I27">
        <f t="shared" si="4"/>
        <v>20.8</v>
      </c>
      <c r="J27">
        <v>13.928000000000001</v>
      </c>
      <c r="K27">
        <v>193.68</v>
      </c>
      <c r="L27">
        <v>77.430000000000007</v>
      </c>
      <c r="M27">
        <f t="shared" si="5"/>
        <v>10.198</v>
      </c>
      <c r="N27">
        <v>193.68</v>
      </c>
      <c r="O27">
        <f t="shared" si="6"/>
        <v>9.3115384615384613</v>
      </c>
    </row>
    <row r="28" spans="4:15">
      <c r="D28" s="1" t="s">
        <v>39</v>
      </c>
      <c r="E28">
        <f t="shared" si="0"/>
        <v>33.558999999999997</v>
      </c>
      <c r="F28">
        <f t="shared" si="1"/>
        <v>10.698999999999998</v>
      </c>
      <c r="G28">
        <f t="shared" si="2"/>
        <v>24.16</v>
      </c>
      <c r="H28">
        <f t="shared" si="3"/>
        <v>45</v>
      </c>
      <c r="I28">
        <f t="shared" si="4"/>
        <v>20.84</v>
      </c>
      <c r="J28">
        <v>14.336</v>
      </c>
      <c r="K28">
        <v>188.76</v>
      </c>
      <c r="L28">
        <v>89.35</v>
      </c>
      <c r="M28">
        <f t="shared" si="5"/>
        <v>10.606</v>
      </c>
      <c r="N28">
        <v>188.76</v>
      </c>
      <c r="O28">
        <f t="shared" si="6"/>
        <v>9.0575815738963534</v>
      </c>
    </row>
    <row r="29" spans="4:15">
      <c r="D29" s="1" t="s">
        <v>40</v>
      </c>
      <c r="E29">
        <f t="shared" si="0"/>
        <v>33.963000000000001</v>
      </c>
      <c r="F29">
        <f t="shared" si="1"/>
        <v>11.103000000000002</v>
      </c>
      <c r="G29">
        <f t="shared" si="2"/>
        <v>24.2</v>
      </c>
      <c r="H29">
        <f t="shared" si="3"/>
        <v>45</v>
      </c>
      <c r="I29">
        <f t="shared" si="4"/>
        <v>20.8</v>
      </c>
      <c r="J29">
        <v>14.744999999999999</v>
      </c>
      <c r="K29">
        <v>199.68</v>
      </c>
      <c r="L29">
        <v>75.67</v>
      </c>
      <c r="M29">
        <f t="shared" si="5"/>
        <v>11.014999999999999</v>
      </c>
      <c r="N29">
        <v>199.68</v>
      </c>
      <c r="O29">
        <f t="shared" si="6"/>
        <v>9.6</v>
      </c>
    </row>
    <row r="30" spans="4:15">
      <c r="D30" s="1" t="s">
        <v>41</v>
      </c>
      <c r="E30">
        <f t="shared" si="0"/>
        <v>34.368000000000002</v>
      </c>
      <c r="F30">
        <f t="shared" si="1"/>
        <v>11.508000000000003</v>
      </c>
      <c r="G30">
        <f t="shared" si="2"/>
        <v>24.2</v>
      </c>
      <c r="H30">
        <f t="shared" si="3"/>
        <v>45</v>
      </c>
      <c r="I30">
        <f t="shared" si="4"/>
        <v>20.8</v>
      </c>
      <c r="J30">
        <v>15.151999999999999</v>
      </c>
      <c r="K30">
        <v>193.35</v>
      </c>
      <c r="L30">
        <v>92.2</v>
      </c>
      <c r="M30">
        <f t="shared" si="5"/>
        <v>11.421999999999999</v>
      </c>
      <c r="N30">
        <v>193.35</v>
      </c>
      <c r="O30">
        <f t="shared" si="6"/>
        <v>9.2956730769230766</v>
      </c>
    </row>
    <row r="31" spans="4:15">
      <c r="D31" s="1" t="s">
        <v>42</v>
      </c>
      <c r="E31">
        <f t="shared" si="0"/>
        <v>34.787999999999997</v>
      </c>
      <c r="F31">
        <f t="shared" si="1"/>
        <v>11.927999999999997</v>
      </c>
      <c r="G31">
        <f t="shared" si="2"/>
        <v>24.16</v>
      </c>
      <c r="H31">
        <f t="shared" si="3"/>
        <v>45</v>
      </c>
      <c r="I31">
        <f t="shared" si="4"/>
        <v>20.84</v>
      </c>
      <c r="J31">
        <v>15.561</v>
      </c>
      <c r="K31">
        <v>196.88</v>
      </c>
      <c r="L31">
        <v>81.94</v>
      </c>
      <c r="M31">
        <f t="shared" si="5"/>
        <v>11.831</v>
      </c>
      <c r="N31">
        <v>196.88</v>
      </c>
      <c r="O31">
        <f t="shared" si="6"/>
        <v>9.4472168905950102</v>
      </c>
    </row>
    <row r="32" spans="4:15">
      <c r="D32" s="1" t="s">
        <v>43</v>
      </c>
      <c r="E32">
        <f t="shared" si="0"/>
        <v>35.207000000000001</v>
      </c>
      <c r="F32">
        <f t="shared" si="1"/>
        <v>12.347000000000001</v>
      </c>
      <c r="G32">
        <f t="shared" si="2"/>
        <v>24.16</v>
      </c>
      <c r="H32">
        <f t="shared" si="3"/>
        <v>45</v>
      </c>
      <c r="I32">
        <f t="shared" si="4"/>
        <v>20.84</v>
      </c>
      <c r="J32">
        <v>15.968999999999999</v>
      </c>
      <c r="K32">
        <v>187.88</v>
      </c>
      <c r="L32">
        <v>90.34</v>
      </c>
      <c r="M32">
        <f t="shared" si="5"/>
        <v>12.238999999999999</v>
      </c>
      <c r="N32">
        <v>187.88</v>
      </c>
      <c r="O32">
        <f t="shared" si="6"/>
        <v>9.0153550863723613</v>
      </c>
    </row>
    <row r="33" spans="4:15">
      <c r="D33" s="1" t="s">
        <v>44</v>
      </c>
      <c r="E33">
        <f t="shared" si="0"/>
        <v>35.578000000000003</v>
      </c>
      <c r="F33">
        <f t="shared" si="1"/>
        <v>12.718000000000004</v>
      </c>
      <c r="G33">
        <f t="shared" si="2"/>
        <v>24.2</v>
      </c>
      <c r="H33">
        <f t="shared" si="3"/>
        <v>45</v>
      </c>
      <c r="I33">
        <f t="shared" si="4"/>
        <v>20.8</v>
      </c>
      <c r="J33">
        <v>16.376000000000001</v>
      </c>
      <c r="K33">
        <v>192.73</v>
      </c>
      <c r="L33">
        <v>80.08</v>
      </c>
      <c r="M33">
        <f t="shared" si="5"/>
        <v>12.646000000000001</v>
      </c>
      <c r="N33">
        <v>192.73</v>
      </c>
      <c r="O33">
        <f t="shared" si="6"/>
        <v>9.2658653846153847</v>
      </c>
    </row>
    <row r="34" spans="4:15">
      <c r="D34" s="1" t="s">
        <v>45</v>
      </c>
      <c r="E34">
        <f t="shared" si="0"/>
        <v>36.015999999999998</v>
      </c>
      <c r="F34">
        <f t="shared" si="1"/>
        <v>13.155999999999999</v>
      </c>
      <c r="G34">
        <f t="shared" si="2"/>
        <v>24.2</v>
      </c>
      <c r="H34">
        <f t="shared" si="3"/>
        <v>45</v>
      </c>
      <c r="I34">
        <f t="shared" si="4"/>
        <v>20.8</v>
      </c>
      <c r="J34">
        <v>16.783999999999999</v>
      </c>
      <c r="K34">
        <v>191.94</v>
      </c>
      <c r="L34">
        <v>85.11</v>
      </c>
      <c r="M34">
        <f t="shared" si="5"/>
        <v>13.053999999999998</v>
      </c>
      <c r="N34">
        <v>191.94</v>
      </c>
      <c r="O34">
        <f t="shared" si="6"/>
        <v>9.2278846153846157</v>
      </c>
    </row>
    <row r="35" spans="4:15">
      <c r="D35" s="1" t="s">
        <v>46</v>
      </c>
      <c r="E35">
        <f t="shared" si="0"/>
        <v>36.421999999999997</v>
      </c>
      <c r="F35">
        <f t="shared" si="1"/>
        <v>13.561999999999998</v>
      </c>
      <c r="G35">
        <f t="shared" si="2"/>
        <v>24.16</v>
      </c>
      <c r="H35">
        <f t="shared" si="3"/>
        <v>45</v>
      </c>
      <c r="I35">
        <f t="shared" si="4"/>
        <v>20.84</v>
      </c>
      <c r="J35">
        <v>17.193000000000001</v>
      </c>
      <c r="K35">
        <v>194.61</v>
      </c>
      <c r="L35">
        <v>86.88</v>
      </c>
      <c r="M35">
        <f t="shared" si="5"/>
        <v>13.463000000000001</v>
      </c>
      <c r="N35">
        <v>194.61</v>
      </c>
      <c r="O35">
        <f t="shared" si="6"/>
        <v>9.338291746641076</v>
      </c>
    </row>
    <row r="36" spans="4:15">
      <c r="D36" s="1" t="s">
        <v>47</v>
      </c>
      <c r="E36">
        <f t="shared" si="0"/>
        <v>36.843000000000004</v>
      </c>
      <c r="F36">
        <f t="shared" si="1"/>
        <v>13.983000000000004</v>
      </c>
      <c r="G36">
        <f t="shared" si="2"/>
        <v>24.2</v>
      </c>
      <c r="H36">
        <f t="shared" si="3"/>
        <v>45</v>
      </c>
      <c r="I36">
        <f t="shared" si="4"/>
        <v>20.8</v>
      </c>
      <c r="J36">
        <v>17.600999999999999</v>
      </c>
      <c r="K36">
        <v>192.48</v>
      </c>
      <c r="L36">
        <v>91.42</v>
      </c>
      <c r="M36">
        <f t="shared" si="5"/>
        <v>13.870999999999999</v>
      </c>
      <c r="N36">
        <v>192.48</v>
      </c>
      <c r="O36">
        <f t="shared" si="6"/>
        <v>9.2538461538461529</v>
      </c>
    </row>
    <row r="37" spans="4:15">
      <c r="D37" s="1" t="s">
        <v>48</v>
      </c>
      <c r="E37">
        <f t="shared" si="0"/>
        <v>37.247999999999998</v>
      </c>
      <c r="F37">
        <f t="shared" si="1"/>
        <v>14.387999999999998</v>
      </c>
      <c r="G37">
        <f t="shared" si="2"/>
        <v>24.16</v>
      </c>
      <c r="H37">
        <f t="shared" si="3"/>
        <v>45</v>
      </c>
      <c r="I37">
        <f t="shared" si="4"/>
        <v>20.84</v>
      </c>
      <c r="J37">
        <v>18.007999999999999</v>
      </c>
      <c r="K37">
        <v>194.37</v>
      </c>
      <c r="L37">
        <v>86.64</v>
      </c>
      <c r="M37">
        <f t="shared" si="5"/>
        <v>14.277999999999999</v>
      </c>
      <c r="N37">
        <v>194.37</v>
      </c>
      <c r="O37">
        <f t="shared" si="6"/>
        <v>9.3267754318618046</v>
      </c>
    </row>
    <row r="38" spans="4:15">
      <c r="D38" s="1" t="s">
        <v>49</v>
      </c>
      <c r="E38">
        <f t="shared" si="0"/>
        <v>37.667999999999999</v>
      </c>
      <c r="F38">
        <f t="shared" si="1"/>
        <v>14.808</v>
      </c>
      <c r="G38">
        <f t="shared" si="2"/>
        <v>24.16</v>
      </c>
      <c r="H38">
        <f t="shared" si="3"/>
        <v>45</v>
      </c>
      <c r="I38">
        <f t="shared" si="4"/>
        <v>20.84</v>
      </c>
      <c r="J38">
        <v>18.417000000000002</v>
      </c>
      <c r="K38">
        <v>188.41</v>
      </c>
      <c r="L38">
        <v>94.68</v>
      </c>
      <c r="M38">
        <f t="shared" si="5"/>
        <v>14.687000000000001</v>
      </c>
      <c r="N38">
        <v>188.41</v>
      </c>
      <c r="O38">
        <f t="shared" si="6"/>
        <v>9.0407869481765832</v>
      </c>
    </row>
    <row r="39" spans="4:15">
      <c r="D39" s="1" t="s">
        <v>50</v>
      </c>
      <c r="E39">
        <f t="shared" si="0"/>
        <v>38.040999999999997</v>
      </c>
      <c r="F39">
        <f t="shared" si="1"/>
        <v>15.180999999999997</v>
      </c>
      <c r="G39">
        <f t="shared" si="2"/>
        <v>24.2</v>
      </c>
      <c r="H39">
        <f t="shared" si="3"/>
        <v>45</v>
      </c>
      <c r="I39">
        <f t="shared" si="4"/>
        <v>20.8</v>
      </c>
      <c r="J39">
        <v>18.824999999999999</v>
      </c>
      <c r="K39">
        <v>190.73</v>
      </c>
      <c r="L39">
        <v>88.94</v>
      </c>
      <c r="M39">
        <f t="shared" si="5"/>
        <v>15.094999999999999</v>
      </c>
      <c r="N39">
        <v>190.73</v>
      </c>
      <c r="O39">
        <f t="shared" si="6"/>
        <v>9.169711538461538</v>
      </c>
    </row>
    <row r="40" spans="4:15">
      <c r="D40" s="1" t="s">
        <v>51</v>
      </c>
      <c r="E40">
        <f t="shared" si="0"/>
        <v>38.479999999999997</v>
      </c>
      <c r="F40">
        <f t="shared" si="1"/>
        <v>15.619999999999997</v>
      </c>
      <c r="G40">
        <f t="shared" si="2"/>
        <v>24.16</v>
      </c>
      <c r="H40">
        <f t="shared" si="3"/>
        <v>45</v>
      </c>
      <c r="I40">
        <f t="shared" si="4"/>
        <v>20.84</v>
      </c>
      <c r="J40">
        <v>19.233000000000001</v>
      </c>
      <c r="K40">
        <v>190.47</v>
      </c>
      <c r="L40">
        <v>100.52</v>
      </c>
      <c r="M40">
        <f t="shared" si="5"/>
        <v>15.503</v>
      </c>
      <c r="N40">
        <v>190.47</v>
      </c>
      <c r="O40">
        <f t="shared" si="6"/>
        <v>9.1396353166986568</v>
      </c>
    </row>
    <row r="41" spans="4:15">
      <c r="D41" s="1" t="s">
        <v>52</v>
      </c>
      <c r="E41">
        <f t="shared" si="0"/>
        <v>38.901000000000003</v>
      </c>
      <c r="F41">
        <f t="shared" si="1"/>
        <v>16.041000000000004</v>
      </c>
      <c r="G41">
        <f t="shared" si="2"/>
        <v>24.2</v>
      </c>
      <c r="H41">
        <f t="shared" si="3"/>
        <v>45</v>
      </c>
      <c r="I41">
        <f t="shared" si="4"/>
        <v>20.8</v>
      </c>
      <c r="J41">
        <v>19.64</v>
      </c>
      <c r="K41">
        <v>198.63</v>
      </c>
      <c r="L41">
        <v>84.35</v>
      </c>
      <c r="M41">
        <f t="shared" si="5"/>
        <v>15.91</v>
      </c>
      <c r="N41">
        <v>198.63</v>
      </c>
      <c r="O41">
        <f t="shared" si="6"/>
        <v>9.5495192307692296</v>
      </c>
    </row>
    <row r="42" spans="4:15">
      <c r="D42" s="1" t="s">
        <v>53</v>
      </c>
      <c r="E42">
        <f t="shared" si="0"/>
        <v>39.270000000000003</v>
      </c>
      <c r="F42">
        <f t="shared" si="1"/>
        <v>16.410000000000004</v>
      </c>
      <c r="G42">
        <f t="shared" si="2"/>
        <v>24.16</v>
      </c>
      <c r="H42">
        <f t="shared" si="3"/>
        <v>45</v>
      </c>
      <c r="I42">
        <f t="shared" si="4"/>
        <v>20.84</v>
      </c>
      <c r="J42">
        <v>20.048999999999999</v>
      </c>
      <c r="K42">
        <v>191.16</v>
      </c>
      <c r="L42">
        <v>92.74</v>
      </c>
      <c r="M42">
        <f t="shared" si="5"/>
        <v>16.318999999999999</v>
      </c>
      <c r="N42">
        <v>191.16</v>
      </c>
      <c r="O42">
        <f t="shared" si="6"/>
        <v>9.1727447216890585</v>
      </c>
    </row>
    <row r="43" spans="4:15">
      <c r="D43" s="1" t="s">
        <v>54</v>
      </c>
      <c r="E43">
        <f t="shared" si="0"/>
        <v>39.679000000000002</v>
      </c>
      <c r="F43">
        <f t="shared" si="1"/>
        <v>16.819000000000003</v>
      </c>
      <c r="G43">
        <f t="shared" si="2"/>
        <v>24.16</v>
      </c>
      <c r="H43">
        <f t="shared" si="3"/>
        <v>45</v>
      </c>
      <c r="I43">
        <f t="shared" si="4"/>
        <v>20.84</v>
      </c>
      <c r="J43">
        <v>20.456</v>
      </c>
      <c r="K43">
        <v>188.3</v>
      </c>
      <c r="L43">
        <v>93.7</v>
      </c>
      <c r="M43">
        <f t="shared" si="5"/>
        <v>16.725999999999999</v>
      </c>
      <c r="N43">
        <v>188.3</v>
      </c>
      <c r="O43">
        <f t="shared" si="6"/>
        <v>9.0355086372360844</v>
      </c>
    </row>
    <row r="44" spans="4:15">
      <c r="D44" s="1" t="s">
        <v>55</v>
      </c>
      <c r="E44">
        <f t="shared" si="0"/>
        <v>40.093000000000004</v>
      </c>
      <c r="F44">
        <f t="shared" si="1"/>
        <v>17.233000000000004</v>
      </c>
      <c r="G44">
        <f t="shared" si="2"/>
        <v>24.16</v>
      </c>
      <c r="H44">
        <f t="shared" si="3"/>
        <v>45</v>
      </c>
      <c r="I44">
        <f t="shared" si="4"/>
        <v>20.84</v>
      </c>
      <c r="J44">
        <v>20.864999999999998</v>
      </c>
      <c r="K44">
        <v>191.49</v>
      </c>
      <c r="L44">
        <v>82.47</v>
      </c>
      <c r="M44">
        <f t="shared" si="5"/>
        <v>17.134999999999998</v>
      </c>
      <c r="N44">
        <v>191.49</v>
      </c>
      <c r="O44">
        <f t="shared" si="6"/>
        <v>9.1885796545105567</v>
      </c>
    </row>
    <row r="45" spans="4:15">
      <c r="D45" s="1" t="s">
        <v>56</v>
      </c>
      <c r="E45">
        <f t="shared" si="0"/>
        <v>40.536999999999999</v>
      </c>
      <c r="F45">
        <f t="shared" si="1"/>
        <v>17.677</v>
      </c>
      <c r="G45">
        <f t="shared" si="2"/>
        <v>24.2</v>
      </c>
      <c r="H45">
        <f t="shared" si="3"/>
        <v>44.75</v>
      </c>
      <c r="I45">
        <f t="shared" si="4"/>
        <v>20.55</v>
      </c>
      <c r="J45">
        <v>21.273</v>
      </c>
      <c r="K45">
        <v>187.09</v>
      </c>
      <c r="L45">
        <v>81.75</v>
      </c>
      <c r="M45">
        <f t="shared" si="5"/>
        <v>17.542999999999999</v>
      </c>
      <c r="N45">
        <v>187.09</v>
      </c>
      <c r="O45">
        <f t="shared" si="6"/>
        <v>9.1041362530413625</v>
      </c>
    </row>
    <row r="46" spans="4:15">
      <c r="D46" s="1" t="s">
        <v>57</v>
      </c>
      <c r="E46">
        <f t="shared" si="0"/>
        <v>40.942</v>
      </c>
      <c r="F46">
        <f t="shared" si="1"/>
        <v>18.082000000000001</v>
      </c>
      <c r="G46">
        <f t="shared" si="2"/>
        <v>24.2</v>
      </c>
      <c r="H46">
        <f t="shared" si="3"/>
        <v>45</v>
      </c>
      <c r="I46">
        <f t="shared" si="4"/>
        <v>20.8</v>
      </c>
      <c r="J46">
        <v>21.68</v>
      </c>
      <c r="K46">
        <v>186.8</v>
      </c>
      <c r="L46">
        <v>87.29</v>
      </c>
      <c r="M46">
        <f t="shared" si="5"/>
        <v>17.95</v>
      </c>
      <c r="N46">
        <v>186.8</v>
      </c>
      <c r="O46">
        <f t="shared" si="6"/>
        <v>8.9807692307692317</v>
      </c>
    </row>
    <row r="47" spans="4:15">
      <c r="D47" s="1" t="s">
        <v>58</v>
      </c>
      <c r="E47">
        <f t="shared" si="0"/>
        <v>41.347000000000001</v>
      </c>
      <c r="F47">
        <f t="shared" si="1"/>
        <v>18.487000000000002</v>
      </c>
      <c r="G47">
        <f t="shared" si="2"/>
        <v>24.2</v>
      </c>
      <c r="H47">
        <f t="shared" si="3"/>
        <v>44.75</v>
      </c>
      <c r="I47">
        <f t="shared" si="4"/>
        <v>20.55</v>
      </c>
      <c r="J47">
        <v>22.088000000000001</v>
      </c>
      <c r="K47">
        <v>181.87</v>
      </c>
      <c r="L47">
        <v>93.54</v>
      </c>
      <c r="M47">
        <f t="shared" si="5"/>
        <v>18.358000000000001</v>
      </c>
      <c r="N47">
        <v>181.87</v>
      </c>
      <c r="O47">
        <f t="shared" si="6"/>
        <v>8.8501216545012156</v>
      </c>
    </row>
    <row r="48" spans="4:15">
      <c r="D48" s="1" t="s">
        <v>59</v>
      </c>
      <c r="E48">
        <f t="shared" si="0"/>
        <v>41.752000000000002</v>
      </c>
      <c r="F48">
        <f t="shared" si="1"/>
        <v>18.892000000000003</v>
      </c>
      <c r="G48">
        <f t="shared" si="2"/>
        <v>24.2</v>
      </c>
      <c r="H48">
        <f t="shared" si="3"/>
        <v>45</v>
      </c>
      <c r="I48">
        <f t="shared" si="4"/>
        <v>20.8</v>
      </c>
      <c r="J48">
        <v>22.495999999999999</v>
      </c>
      <c r="K48">
        <v>188.5</v>
      </c>
      <c r="L48">
        <v>81.900000000000006</v>
      </c>
      <c r="M48">
        <f t="shared" si="5"/>
        <v>18.765999999999998</v>
      </c>
      <c r="N48">
        <v>188.5</v>
      </c>
      <c r="O48">
        <f t="shared" si="6"/>
        <v>9.0625</v>
      </c>
    </row>
    <row r="49" spans="4:15">
      <c r="D49" s="1" t="s">
        <v>60</v>
      </c>
      <c r="E49">
        <f t="shared" si="0"/>
        <v>42.173000000000002</v>
      </c>
      <c r="F49">
        <f t="shared" si="1"/>
        <v>19.313000000000002</v>
      </c>
      <c r="G49">
        <f t="shared" si="2"/>
        <v>24.2</v>
      </c>
      <c r="H49">
        <f t="shared" si="3"/>
        <v>45</v>
      </c>
      <c r="I49">
        <f t="shared" si="4"/>
        <v>20.8</v>
      </c>
      <c r="J49">
        <v>22.904</v>
      </c>
      <c r="K49">
        <v>183.61</v>
      </c>
      <c r="L49">
        <v>88.98</v>
      </c>
      <c r="M49">
        <f t="shared" si="5"/>
        <v>19.173999999999999</v>
      </c>
      <c r="N49">
        <v>183.61</v>
      </c>
      <c r="O49">
        <f t="shared" si="6"/>
        <v>8.827403846153846</v>
      </c>
    </row>
    <row r="50" spans="4:15">
      <c r="D50" s="1" t="s">
        <v>61</v>
      </c>
      <c r="E50">
        <f t="shared" si="0"/>
        <v>42.578000000000003</v>
      </c>
      <c r="F50">
        <f t="shared" si="1"/>
        <v>19.718000000000004</v>
      </c>
      <c r="G50">
        <f t="shared" si="2"/>
        <v>24.16</v>
      </c>
      <c r="H50">
        <f t="shared" si="3"/>
        <v>45</v>
      </c>
      <c r="I50">
        <f t="shared" si="4"/>
        <v>20.84</v>
      </c>
      <c r="J50">
        <v>23.312000000000001</v>
      </c>
      <c r="K50">
        <v>186.88</v>
      </c>
      <c r="L50">
        <v>78.19</v>
      </c>
      <c r="M50">
        <f t="shared" si="5"/>
        <v>19.582000000000001</v>
      </c>
      <c r="N50">
        <v>186.88</v>
      </c>
      <c r="O50">
        <f t="shared" si="6"/>
        <v>8.9673704414587334</v>
      </c>
    </row>
    <row r="51" spans="4:15">
      <c r="D51" s="1" t="s">
        <v>62</v>
      </c>
      <c r="E51">
        <f t="shared" si="0"/>
        <v>43</v>
      </c>
      <c r="F51">
        <f t="shared" si="1"/>
        <v>20.14</v>
      </c>
      <c r="G51">
        <f t="shared" si="2"/>
        <v>24.16</v>
      </c>
      <c r="H51">
        <f t="shared" si="3"/>
        <v>45</v>
      </c>
      <c r="I51">
        <f t="shared" si="4"/>
        <v>20.84</v>
      </c>
      <c r="J51">
        <v>23.72</v>
      </c>
      <c r="K51">
        <v>183.52</v>
      </c>
      <c r="L51">
        <v>88.1</v>
      </c>
      <c r="M51">
        <f t="shared" si="5"/>
        <v>19.989999999999998</v>
      </c>
      <c r="N51">
        <v>183.52</v>
      </c>
      <c r="O51">
        <f t="shared" si="6"/>
        <v>8.8061420345489445</v>
      </c>
    </row>
    <row r="52" spans="4:15">
      <c r="D52" s="1" t="s">
        <v>63</v>
      </c>
      <c r="E52">
        <f t="shared" si="0"/>
        <v>43.374000000000002</v>
      </c>
      <c r="F52">
        <f t="shared" si="1"/>
        <v>20.514000000000003</v>
      </c>
      <c r="G52">
        <f t="shared" si="2"/>
        <v>24.16</v>
      </c>
      <c r="H52">
        <f t="shared" si="3"/>
        <v>44.75</v>
      </c>
      <c r="I52">
        <f t="shared" si="4"/>
        <v>20.59</v>
      </c>
      <c r="J52">
        <v>24.128</v>
      </c>
      <c r="K52">
        <v>187.34</v>
      </c>
      <c r="L52">
        <v>85.65</v>
      </c>
      <c r="M52">
        <f t="shared" si="5"/>
        <v>20.398</v>
      </c>
      <c r="N52">
        <v>187.34</v>
      </c>
      <c r="O52">
        <f t="shared" si="6"/>
        <v>9.0985915492957741</v>
      </c>
    </row>
    <row r="53" spans="4:15">
      <c r="D53" s="1" t="s">
        <v>64</v>
      </c>
      <c r="E53">
        <f t="shared" si="0"/>
        <v>43.808</v>
      </c>
      <c r="F53">
        <f t="shared" si="1"/>
        <v>20.948</v>
      </c>
      <c r="G53">
        <f t="shared" si="2"/>
        <v>24.2</v>
      </c>
      <c r="H53">
        <f t="shared" si="3"/>
        <v>45</v>
      </c>
      <c r="I53">
        <f t="shared" si="4"/>
        <v>20.8</v>
      </c>
      <c r="J53">
        <v>24.536000000000001</v>
      </c>
      <c r="K53">
        <v>186.56</v>
      </c>
      <c r="L53">
        <v>88.39</v>
      </c>
      <c r="M53">
        <f t="shared" si="5"/>
        <v>20.806000000000001</v>
      </c>
      <c r="N53">
        <v>186.56</v>
      </c>
      <c r="O53">
        <f t="shared" si="6"/>
        <v>8.9692307692307693</v>
      </c>
    </row>
    <row r="54" spans="4:15">
      <c r="D54" s="1" t="s">
        <v>65</v>
      </c>
      <c r="E54">
        <f t="shared" si="0"/>
        <v>44.228000000000002</v>
      </c>
      <c r="F54">
        <f t="shared" si="1"/>
        <v>21.368000000000002</v>
      </c>
      <c r="G54">
        <f t="shared" si="2"/>
        <v>24.16</v>
      </c>
      <c r="H54">
        <f t="shared" si="3"/>
        <v>45</v>
      </c>
      <c r="I54">
        <f t="shared" si="4"/>
        <v>20.84</v>
      </c>
      <c r="J54">
        <v>24.943999999999999</v>
      </c>
      <c r="K54">
        <v>188.99</v>
      </c>
      <c r="L54">
        <v>84.86</v>
      </c>
      <c r="M54">
        <f t="shared" si="5"/>
        <v>21.213999999999999</v>
      </c>
      <c r="N54">
        <v>188.99</v>
      </c>
      <c r="O54">
        <f t="shared" si="6"/>
        <v>9.0686180422264879</v>
      </c>
    </row>
    <row r="55" spans="4:15">
      <c r="D55" s="1" t="s">
        <v>66</v>
      </c>
      <c r="E55">
        <f t="shared" si="0"/>
        <v>44.646999999999998</v>
      </c>
      <c r="F55">
        <f t="shared" si="1"/>
        <v>21.786999999999999</v>
      </c>
      <c r="G55">
        <f t="shared" si="2"/>
        <v>24.16</v>
      </c>
      <c r="H55">
        <f t="shared" si="3"/>
        <v>44.75</v>
      </c>
      <c r="I55">
        <f t="shared" si="4"/>
        <v>20.59</v>
      </c>
      <c r="J55">
        <v>25.352</v>
      </c>
      <c r="K55">
        <v>195.82</v>
      </c>
      <c r="L55">
        <v>82.12</v>
      </c>
      <c r="M55">
        <f t="shared" si="5"/>
        <v>21.622</v>
      </c>
      <c r="N55">
        <v>195.82</v>
      </c>
      <c r="O55">
        <f t="shared" si="6"/>
        <v>9.5104419621175325</v>
      </c>
    </row>
    <row r="56" spans="4:15">
      <c r="D56" s="1" t="s">
        <v>67</v>
      </c>
      <c r="E56">
        <f t="shared" si="0"/>
        <v>45.012</v>
      </c>
      <c r="F56">
        <f t="shared" si="1"/>
        <v>22.152000000000001</v>
      </c>
      <c r="G56">
        <f t="shared" si="2"/>
        <v>24.2</v>
      </c>
      <c r="H56">
        <f t="shared" si="3"/>
        <v>44.75</v>
      </c>
      <c r="I56">
        <f t="shared" si="4"/>
        <v>20.55</v>
      </c>
      <c r="J56">
        <v>25.76</v>
      </c>
      <c r="K56">
        <v>201.53</v>
      </c>
      <c r="L56">
        <v>83.28</v>
      </c>
      <c r="M56">
        <f t="shared" si="5"/>
        <v>22.03</v>
      </c>
      <c r="N56">
        <v>201.53</v>
      </c>
      <c r="O56">
        <f t="shared" si="6"/>
        <v>9.8068126520681265</v>
      </c>
    </row>
    <row r="57" spans="4:15">
      <c r="D57" s="1" t="s">
        <v>68</v>
      </c>
      <c r="E57">
        <f t="shared" si="0"/>
        <v>45.442</v>
      </c>
      <c r="F57">
        <f t="shared" si="1"/>
        <v>22.582000000000001</v>
      </c>
      <c r="G57">
        <f t="shared" si="2"/>
        <v>24.16</v>
      </c>
      <c r="H57">
        <f t="shared" si="3"/>
        <v>45</v>
      </c>
      <c r="I57">
        <f t="shared" si="4"/>
        <v>20.84</v>
      </c>
      <c r="J57">
        <v>26.167999999999999</v>
      </c>
      <c r="K57">
        <v>199.71</v>
      </c>
      <c r="L57">
        <v>83.01</v>
      </c>
      <c r="M57">
        <f t="shared" si="5"/>
        <v>22.437999999999999</v>
      </c>
      <c r="N57">
        <v>199.71</v>
      </c>
      <c r="O57">
        <f t="shared" si="6"/>
        <v>9.5830134357005754</v>
      </c>
    </row>
    <row r="58" spans="4:15">
      <c r="D58" s="1" t="s">
        <v>69</v>
      </c>
      <c r="E58">
        <f t="shared" si="0"/>
        <v>45.863999999999997</v>
      </c>
      <c r="F58">
        <f t="shared" si="1"/>
        <v>23.003999999999998</v>
      </c>
      <c r="G58">
        <f t="shared" si="2"/>
        <v>24.16</v>
      </c>
      <c r="H58">
        <f t="shared" si="3"/>
        <v>44.75</v>
      </c>
      <c r="I58">
        <f t="shared" si="4"/>
        <v>20.59</v>
      </c>
      <c r="J58">
        <v>26.576000000000001</v>
      </c>
      <c r="K58">
        <v>192.03</v>
      </c>
      <c r="L58">
        <v>88.58</v>
      </c>
      <c r="M58">
        <f t="shared" si="5"/>
        <v>22.846</v>
      </c>
      <c r="N58">
        <v>192.03</v>
      </c>
      <c r="O58">
        <f t="shared" si="6"/>
        <v>9.3263720252549778</v>
      </c>
    </row>
    <row r="59" spans="4:15">
      <c r="D59" s="1" t="s">
        <v>70</v>
      </c>
      <c r="E59">
        <f t="shared" si="0"/>
        <v>46.283999999999999</v>
      </c>
      <c r="F59">
        <f t="shared" si="1"/>
        <v>23.423999999999999</v>
      </c>
      <c r="G59">
        <f t="shared" si="2"/>
        <v>24.2</v>
      </c>
      <c r="H59">
        <f t="shared" si="3"/>
        <v>44.75</v>
      </c>
      <c r="I59">
        <f t="shared" si="4"/>
        <v>20.55</v>
      </c>
      <c r="J59">
        <v>26.984000000000002</v>
      </c>
      <c r="K59">
        <v>188.03</v>
      </c>
      <c r="L59">
        <v>88.14</v>
      </c>
      <c r="M59">
        <f t="shared" si="5"/>
        <v>23.254000000000001</v>
      </c>
      <c r="N59">
        <v>188.03</v>
      </c>
      <c r="O59">
        <f t="shared" si="6"/>
        <v>9.1498783454987827</v>
      </c>
    </row>
    <row r="60" spans="4:15">
      <c r="D60" s="1" t="s">
        <v>71</v>
      </c>
      <c r="E60">
        <f t="shared" si="0"/>
        <v>46.655000000000001</v>
      </c>
      <c r="F60">
        <f t="shared" si="1"/>
        <v>23.795000000000002</v>
      </c>
      <c r="G60">
        <f t="shared" si="2"/>
        <v>24.2</v>
      </c>
      <c r="H60">
        <f t="shared" si="3"/>
        <v>44.75</v>
      </c>
      <c r="I60">
        <f t="shared" si="4"/>
        <v>20.55</v>
      </c>
      <c r="J60">
        <v>27.391999999999999</v>
      </c>
      <c r="K60">
        <v>189.42</v>
      </c>
      <c r="L60">
        <v>82.07</v>
      </c>
      <c r="M60">
        <f t="shared" si="5"/>
        <v>23.661999999999999</v>
      </c>
      <c r="N60">
        <v>189.42</v>
      </c>
      <c r="O60">
        <f t="shared" si="6"/>
        <v>9.2175182481751818</v>
      </c>
    </row>
    <row r="61" spans="4:15">
      <c r="D61" s="1" t="s">
        <v>72</v>
      </c>
      <c r="E61">
        <f t="shared" si="0"/>
        <v>47.079000000000001</v>
      </c>
      <c r="F61">
        <f t="shared" si="1"/>
        <v>24.219000000000001</v>
      </c>
      <c r="G61">
        <f t="shared" si="2"/>
        <v>24.16</v>
      </c>
      <c r="H61">
        <f t="shared" si="3"/>
        <v>44.75</v>
      </c>
      <c r="I61">
        <f t="shared" si="4"/>
        <v>20.59</v>
      </c>
      <c r="J61">
        <v>27.8</v>
      </c>
      <c r="K61">
        <v>188.13</v>
      </c>
      <c r="L61">
        <v>84.81</v>
      </c>
      <c r="M61">
        <f t="shared" si="5"/>
        <v>24.07</v>
      </c>
      <c r="N61">
        <v>188.13</v>
      </c>
      <c r="O61">
        <f t="shared" si="6"/>
        <v>9.1369596891694993</v>
      </c>
    </row>
    <row r="62" spans="4:15">
      <c r="D62" s="1" t="s">
        <v>73</v>
      </c>
      <c r="E62">
        <f t="shared" si="0"/>
        <v>47.472999999999999</v>
      </c>
      <c r="F62">
        <f t="shared" si="1"/>
        <v>24.613</v>
      </c>
      <c r="G62">
        <f t="shared" si="2"/>
        <v>24.16</v>
      </c>
      <c r="H62">
        <f t="shared" si="3"/>
        <v>44.75</v>
      </c>
      <c r="I62">
        <f t="shared" si="4"/>
        <v>20.59</v>
      </c>
      <c r="J62">
        <v>28.207999999999998</v>
      </c>
      <c r="K62">
        <v>178.11</v>
      </c>
      <c r="L62">
        <v>100.92</v>
      </c>
      <c r="M62">
        <f t="shared" si="5"/>
        <v>24.477999999999998</v>
      </c>
      <c r="N62">
        <v>178.11</v>
      </c>
      <c r="O62">
        <f t="shared" si="6"/>
        <v>8.6503156872268097</v>
      </c>
    </row>
    <row r="63" spans="4:15">
      <c r="D63" s="1" t="s">
        <v>74</v>
      </c>
      <c r="E63">
        <f t="shared" si="0"/>
        <v>47.887</v>
      </c>
      <c r="F63">
        <f t="shared" si="1"/>
        <v>25.027000000000001</v>
      </c>
      <c r="G63">
        <f t="shared" si="2"/>
        <v>24.16</v>
      </c>
      <c r="H63">
        <f t="shared" si="3"/>
        <v>44.75</v>
      </c>
      <c r="I63">
        <f t="shared" si="4"/>
        <v>20.59</v>
      </c>
      <c r="J63">
        <v>28.616</v>
      </c>
      <c r="K63">
        <v>188.88</v>
      </c>
      <c r="L63">
        <v>75.459999999999994</v>
      </c>
      <c r="M63">
        <f t="shared" si="5"/>
        <v>24.885999999999999</v>
      </c>
      <c r="N63">
        <v>188.88</v>
      </c>
      <c r="O63">
        <f t="shared" si="6"/>
        <v>9.1733851384167071</v>
      </c>
    </row>
    <row r="64" spans="4:15">
      <c r="D64" s="1" t="s">
        <v>75</v>
      </c>
      <c r="E64">
        <f t="shared" si="0"/>
        <v>48.337000000000003</v>
      </c>
      <c r="F64">
        <f t="shared" si="1"/>
        <v>25.477000000000004</v>
      </c>
      <c r="G64">
        <f t="shared" si="2"/>
        <v>24.16</v>
      </c>
      <c r="H64">
        <f t="shared" si="3"/>
        <v>44.75</v>
      </c>
      <c r="I64">
        <f t="shared" si="4"/>
        <v>20.59</v>
      </c>
      <c r="J64">
        <v>29.024000000000001</v>
      </c>
      <c r="K64">
        <v>185.23</v>
      </c>
      <c r="L64">
        <v>86.6</v>
      </c>
      <c r="M64">
        <f t="shared" si="5"/>
        <v>25.294</v>
      </c>
      <c r="N64">
        <v>185.23</v>
      </c>
      <c r="O64">
        <f t="shared" si="6"/>
        <v>8.9961146187469634</v>
      </c>
    </row>
    <row r="65" spans="4:15">
      <c r="D65" s="1" t="s">
        <v>76</v>
      </c>
      <c r="E65">
        <f t="shared" si="0"/>
        <v>48.726999999999997</v>
      </c>
      <c r="F65">
        <f t="shared" si="1"/>
        <v>25.866999999999997</v>
      </c>
      <c r="G65">
        <f t="shared" si="2"/>
        <v>24.16</v>
      </c>
      <c r="H65">
        <f t="shared" si="3"/>
        <v>44.75</v>
      </c>
      <c r="I65">
        <f t="shared" si="4"/>
        <v>20.59</v>
      </c>
      <c r="J65">
        <v>29.431999999999999</v>
      </c>
      <c r="K65">
        <v>187.04</v>
      </c>
      <c r="L65">
        <v>94.23</v>
      </c>
      <c r="M65">
        <f t="shared" si="5"/>
        <v>25.701999999999998</v>
      </c>
      <c r="N65">
        <v>187.04</v>
      </c>
      <c r="O65">
        <f t="shared" si="6"/>
        <v>9.0840213695968917</v>
      </c>
    </row>
    <row r="66" spans="4:15">
      <c r="D66" s="1" t="s">
        <v>77</v>
      </c>
      <c r="E66">
        <f t="shared" si="0"/>
        <v>49.131999999999998</v>
      </c>
      <c r="F66">
        <f t="shared" si="1"/>
        <v>26.271999999999998</v>
      </c>
      <c r="G66">
        <f t="shared" si="2"/>
        <v>24.16</v>
      </c>
      <c r="H66">
        <f t="shared" si="3"/>
        <v>44.75</v>
      </c>
      <c r="I66">
        <f t="shared" si="4"/>
        <v>20.59</v>
      </c>
      <c r="J66">
        <v>29.84</v>
      </c>
      <c r="K66">
        <v>192.32</v>
      </c>
      <c r="L66">
        <v>82.29</v>
      </c>
      <c r="M66">
        <f t="shared" si="5"/>
        <v>26.11</v>
      </c>
      <c r="N66">
        <v>192.32</v>
      </c>
      <c r="O66">
        <f t="shared" si="6"/>
        <v>9.3404565322972317</v>
      </c>
    </row>
    <row r="67" spans="4:15">
      <c r="D67" s="1" t="s">
        <v>78</v>
      </c>
      <c r="E67">
        <f t="shared" ref="E67:E130" si="7">60*VALUE(MID(D67,4,2))+VALUE(MID(D67,7,6))</f>
        <v>49.526000000000003</v>
      </c>
      <c r="F67">
        <f t="shared" ref="F67:F130" si="8">E67-E$2</f>
        <v>26.666000000000004</v>
      </c>
      <c r="G67">
        <f t="shared" ref="G67:G130" si="9">VALUE(RIGHT(D67,5))</f>
        <v>24.16</v>
      </c>
      <c r="H67">
        <f t="shared" ref="H67:H130" si="10">VALUE(MID(D67,16,6))</f>
        <v>44.75</v>
      </c>
      <c r="I67">
        <f t="shared" ref="I67:I130" si="11">H67-G67</f>
        <v>20.59</v>
      </c>
      <c r="J67">
        <v>30.248000000000001</v>
      </c>
      <c r="K67">
        <v>190.22</v>
      </c>
      <c r="L67">
        <v>86.94</v>
      </c>
      <c r="M67">
        <f t="shared" ref="M67:M130" si="12">J67-3.73</f>
        <v>26.518000000000001</v>
      </c>
      <c r="N67">
        <v>190.22</v>
      </c>
      <c r="O67">
        <f t="shared" ref="O67:O130" si="13">N67/I67</f>
        <v>9.2384652744050513</v>
      </c>
    </row>
    <row r="68" spans="4:15">
      <c r="D68" s="1" t="s">
        <v>79</v>
      </c>
      <c r="E68">
        <f t="shared" si="7"/>
        <v>49.973999999999997</v>
      </c>
      <c r="F68">
        <f t="shared" si="8"/>
        <v>27.113999999999997</v>
      </c>
      <c r="G68">
        <f t="shared" si="9"/>
        <v>24.2</v>
      </c>
      <c r="H68">
        <f t="shared" si="10"/>
        <v>44.75</v>
      </c>
      <c r="I68">
        <f t="shared" si="11"/>
        <v>20.55</v>
      </c>
      <c r="J68">
        <v>30.655000000000001</v>
      </c>
      <c r="K68">
        <v>196.42</v>
      </c>
      <c r="L68">
        <v>73.13</v>
      </c>
      <c r="M68">
        <f t="shared" si="12"/>
        <v>26.925000000000001</v>
      </c>
      <c r="N68">
        <v>196.42</v>
      </c>
      <c r="O68">
        <f t="shared" si="13"/>
        <v>9.558150851581507</v>
      </c>
    </row>
    <row r="69" spans="4:15">
      <c r="D69" s="1" t="s">
        <v>80</v>
      </c>
      <c r="E69">
        <f t="shared" si="7"/>
        <v>50.344999999999999</v>
      </c>
      <c r="F69">
        <f t="shared" si="8"/>
        <v>27.484999999999999</v>
      </c>
      <c r="G69">
        <f t="shared" si="9"/>
        <v>24.16</v>
      </c>
      <c r="H69">
        <f t="shared" si="10"/>
        <v>45</v>
      </c>
      <c r="I69">
        <f t="shared" si="11"/>
        <v>20.84</v>
      </c>
      <c r="J69">
        <v>31.064</v>
      </c>
      <c r="K69">
        <v>191.99</v>
      </c>
      <c r="L69">
        <v>80.98</v>
      </c>
      <c r="M69">
        <f t="shared" si="12"/>
        <v>27.334</v>
      </c>
      <c r="N69">
        <v>191.99</v>
      </c>
      <c r="O69">
        <f t="shared" si="13"/>
        <v>9.2125719769673715</v>
      </c>
    </row>
    <row r="70" spans="4:15">
      <c r="D70" s="1" t="s">
        <v>81</v>
      </c>
      <c r="E70">
        <f t="shared" si="7"/>
        <v>50.758000000000003</v>
      </c>
      <c r="F70">
        <f t="shared" si="8"/>
        <v>27.898000000000003</v>
      </c>
      <c r="G70">
        <f t="shared" si="9"/>
        <v>24.16</v>
      </c>
      <c r="H70">
        <f t="shared" si="10"/>
        <v>44.75</v>
      </c>
      <c r="I70">
        <f t="shared" si="11"/>
        <v>20.59</v>
      </c>
      <c r="J70">
        <v>31.472000000000001</v>
      </c>
      <c r="K70">
        <v>189.81</v>
      </c>
      <c r="L70">
        <v>79.62</v>
      </c>
      <c r="M70">
        <f t="shared" si="12"/>
        <v>27.742000000000001</v>
      </c>
      <c r="N70">
        <v>189.81</v>
      </c>
      <c r="O70">
        <f t="shared" si="13"/>
        <v>9.2185526954832451</v>
      </c>
    </row>
    <row r="71" spans="4:15">
      <c r="D71" s="1" t="s">
        <v>82</v>
      </c>
      <c r="E71">
        <f t="shared" si="7"/>
        <v>51.167999999999999</v>
      </c>
      <c r="F71">
        <f t="shared" si="8"/>
        <v>28.308</v>
      </c>
      <c r="G71">
        <f t="shared" si="9"/>
        <v>24.16</v>
      </c>
      <c r="H71">
        <f t="shared" si="10"/>
        <v>45</v>
      </c>
      <c r="I71">
        <f t="shared" si="11"/>
        <v>20.84</v>
      </c>
      <c r="J71">
        <v>31.88</v>
      </c>
      <c r="K71">
        <v>180.65</v>
      </c>
      <c r="L71">
        <v>86.02</v>
      </c>
      <c r="M71">
        <f t="shared" si="12"/>
        <v>28.15</v>
      </c>
      <c r="N71">
        <v>180.65</v>
      </c>
      <c r="O71">
        <f t="shared" si="13"/>
        <v>8.6684261036468335</v>
      </c>
    </row>
    <row r="72" spans="4:15">
      <c r="D72" s="1" t="s">
        <v>83</v>
      </c>
      <c r="E72">
        <f t="shared" si="7"/>
        <v>51.576999999999998</v>
      </c>
      <c r="F72">
        <f t="shared" si="8"/>
        <v>28.716999999999999</v>
      </c>
      <c r="G72">
        <f t="shared" si="9"/>
        <v>24.16</v>
      </c>
      <c r="H72">
        <f t="shared" si="10"/>
        <v>45</v>
      </c>
      <c r="I72">
        <f t="shared" si="11"/>
        <v>20.84</v>
      </c>
      <c r="J72">
        <v>32.286999999999999</v>
      </c>
      <c r="K72">
        <v>180</v>
      </c>
      <c r="L72">
        <v>87.45</v>
      </c>
      <c r="M72">
        <f t="shared" si="12"/>
        <v>28.556999999999999</v>
      </c>
      <c r="N72">
        <v>180</v>
      </c>
      <c r="O72">
        <f t="shared" si="13"/>
        <v>8.6372360844529759</v>
      </c>
    </row>
    <row r="73" spans="4:15">
      <c r="D73" s="1" t="s">
        <v>84</v>
      </c>
      <c r="E73">
        <f t="shared" si="7"/>
        <v>52.015999999999998</v>
      </c>
      <c r="F73">
        <f t="shared" si="8"/>
        <v>29.155999999999999</v>
      </c>
      <c r="G73">
        <f t="shared" si="9"/>
        <v>24.16</v>
      </c>
      <c r="H73">
        <f t="shared" si="10"/>
        <v>45</v>
      </c>
      <c r="I73">
        <f t="shared" si="11"/>
        <v>20.84</v>
      </c>
      <c r="J73">
        <v>32.695</v>
      </c>
      <c r="K73">
        <v>186.48</v>
      </c>
      <c r="L73">
        <v>78.38</v>
      </c>
      <c r="M73">
        <f t="shared" si="12"/>
        <v>28.965</v>
      </c>
      <c r="N73">
        <v>186.48</v>
      </c>
      <c r="O73">
        <f t="shared" si="13"/>
        <v>8.9481765834932823</v>
      </c>
    </row>
    <row r="74" spans="4:15">
      <c r="D74" s="1" t="s">
        <v>85</v>
      </c>
      <c r="E74">
        <f t="shared" si="7"/>
        <v>52.421999999999997</v>
      </c>
      <c r="F74">
        <f t="shared" si="8"/>
        <v>29.561999999999998</v>
      </c>
      <c r="G74">
        <f t="shared" si="9"/>
        <v>24.16</v>
      </c>
      <c r="H74">
        <f t="shared" si="10"/>
        <v>44.75</v>
      </c>
      <c r="I74">
        <f t="shared" si="11"/>
        <v>20.59</v>
      </c>
      <c r="J74">
        <v>33.103999999999999</v>
      </c>
      <c r="K74">
        <v>183.61</v>
      </c>
      <c r="L74">
        <v>84.94</v>
      </c>
      <c r="M74">
        <f t="shared" si="12"/>
        <v>29.373999999999999</v>
      </c>
      <c r="N74">
        <v>183.61</v>
      </c>
      <c r="O74">
        <f t="shared" si="13"/>
        <v>8.9174356483729973</v>
      </c>
    </row>
    <row r="75" spans="4:15">
      <c r="D75" s="1" t="s">
        <v>86</v>
      </c>
      <c r="E75">
        <f t="shared" si="7"/>
        <v>52.84</v>
      </c>
      <c r="F75">
        <f t="shared" si="8"/>
        <v>29.980000000000004</v>
      </c>
      <c r="G75">
        <f t="shared" si="9"/>
        <v>24.2</v>
      </c>
      <c r="H75">
        <f t="shared" si="10"/>
        <v>45</v>
      </c>
      <c r="I75">
        <f t="shared" si="11"/>
        <v>20.8</v>
      </c>
      <c r="J75">
        <v>33.511000000000003</v>
      </c>
      <c r="K75">
        <v>182.71</v>
      </c>
      <c r="L75">
        <v>89.5</v>
      </c>
      <c r="M75">
        <f t="shared" si="12"/>
        <v>29.781000000000002</v>
      </c>
      <c r="N75">
        <v>182.71</v>
      </c>
      <c r="O75">
        <f t="shared" si="13"/>
        <v>8.784134615384616</v>
      </c>
    </row>
    <row r="76" spans="4:15">
      <c r="D76" s="1" t="s">
        <v>87</v>
      </c>
      <c r="E76">
        <f t="shared" si="7"/>
        <v>53.246000000000002</v>
      </c>
      <c r="F76">
        <f t="shared" si="8"/>
        <v>30.386000000000003</v>
      </c>
      <c r="G76">
        <f t="shared" si="9"/>
        <v>24.2</v>
      </c>
      <c r="H76">
        <f t="shared" si="10"/>
        <v>45</v>
      </c>
      <c r="I76">
        <f t="shared" si="11"/>
        <v>20.8</v>
      </c>
      <c r="J76">
        <v>33.918999999999997</v>
      </c>
      <c r="K76">
        <v>186.99</v>
      </c>
      <c r="L76">
        <v>83.33</v>
      </c>
      <c r="M76">
        <f t="shared" si="12"/>
        <v>30.188999999999997</v>
      </c>
      <c r="N76">
        <v>186.99</v>
      </c>
      <c r="O76">
        <f t="shared" si="13"/>
        <v>8.9899038461538456</v>
      </c>
    </row>
    <row r="77" spans="4:15">
      <c r="D77" s="1" t="s">
        <v>88</v>
      </c>
      <c r="E77">
        <f t="shared" si="7"/>
        <v>53.652000000000001</v>
      </c>
      <c r="F77">
        <f t="shared" si="8"/>
        <v>30.792000000000002</v>
      </c>
      <c r="G77">
        <f t="shared" si="9"/>
        <v>24.16</v>
      </c>
      <c r="H77">
        <f t="shared" si="10"/>
        <v>45</v>
      </c>
      <c r="I77">
        <f t="shared" si="11"/>
        <v>20.84</v>
      </c>
      <c r="J77">
        <v>34.326999999999998</v>
      </c>
      <c r="K77">
        <v>182.18</v>
      </c>
      <c r="L77">
        <v>89.64</v>
      </c>
      <c r="M77">
        <f t="shared" si="12"/>
        <v>30.596999999999998</v>
      </c>
      <c r="N77">
        <v>182.18</v>
      </c>
      <c r="O77">
        <f t="shared" si="13"/>
        <v>8.7418426103646834</v>
      </c>
    </row>
    <row r="78" spans="4:15">
      <c r="D78" s="1" t="s">
        <v>89</v>
      </c>
      <c r="E78">
        <f t="shared" si="7"/>
        <v>54.073999999999998</v>
      </c>
      <c r="F78">
        <f t="shared" si="8"/>
        <v>31.213999999999999</v>
      </c>
      <c r="G78">
        <f t="shared" si="9"/>
        <v>24.16</v>
      </c>
      <c r="H78">
        <f t="shared" si="10"/>
        <v>45</v>
      </c>
      <c r="I78">
        <f t="shared" si="11"/>
        <v>20.84</v>
      </c>
      <c r="J78">
        <v>34.734999999999999</v>
      </c>
      <c r="K78">
        <v>185.6</v>
      </c>
      <c r="L78">
        <v>78.86</v>
      </c>
      <c r="M78">
        <f t="shared" si="12"/>
        <v>31.004999999999999</v>
      </c>
      <c r="N78">
        <v>185.6</v>
      </c>
      <c r="O78">
        <f t="shared" si="13"/>
        <v>8.9059500959692901</v>
      </c>
    </row>
    <row r="79" spans="4:15">
      <c r="D79" s="1" t="s">
        <v>90</v>
      </c>
      <c r="E79">
        <f t="shared" si="7"/>
        <v>54.493000000000002</v>
      </c>
      <c r="F79">
        <f t="shared" si="8"/>
        <v>31.633000000000003</v>
      </c>
      <c r="G79">
        <f t="shared" si="9"/>
        <v>24.13</v>
      </c>
      <c r="H79">
        <f t="shared" si="10"/>
        <v>45</v>
      </c>
      <c r="I79">
        <f t="shared" si="11"/>
        <v>20.87</v>
      </c>
      <c r="J79">
        <v>35.143000000000001</v>
      </c>
      <c r="K79">
        <v>186.86</v>
      </c>
      <c r="L79">
        <v>76.86</v>
      </c>
      <c r="M79">
        <f t="shared" si="12"/>
        <v>31.413</v>
      </c>
      <c r="N79">
        <v>186.86</v>
      </c>
      <c r="O79">
        <f t="shared" si="13"/>
        <v>8.9535218016291331</v>
      </c>
    </row>
    <row r="80" spans="4:15">
      <c r="D80" s="1" t="s">
        <v>91</v>
      </c>
      <c r="E80">
        <f t="shared" si="7"/>
        <v>54.9</v>
      </c>
      <c r="F80">
        <f t="shared" si="8"/>
        <v>32.04</v>
      </c>
      <c r="G80">
        <f t="shared" si="9"/>
        <v>24.2</v>
      </c>
      <c r="H80">
        <f t="shared" si="10"/>
        <v>45</v>
      </c>
      <c r="I80">
        <f t="shared" si="11"/>
        <v>20.8</v>
      </c>
      <c r="J80">
        <v>35.551000000000002</v>
      </c>
      <c r="K80">
        <v>185.22</v>
      </c>
      <c r="L80">
        <v>82.02</v>
      </c>
      <c r="M80">
        <f t="shared" si="12"/>
        <v>31.821000000000002</v>
      </c>
      <c r="N80">
        <v>185.22</v>
      </c>
      <c r="O80">
        <f t="shared" si="13"/>
        <v>8.904807692307692</v>
      </c>
    </row>
    <row r="81" spans="4:15">
      <c r="D81" s="1" t="s">
        <v>92</v>
      </c>
      <c r="E81">
        <f t="shared" si="7"/>
        <v>55.29</v>
      </c>
      <c r="F81">
        <f t="shared" si="8"/>
        <v>32.43</v>
      </c>
      <c r="G81">
        <f t="shared" si="9"/>
        <v>24.16</v>
      </c>
      <c r="H81">
        <f t="shared" si="10"/>
        <v>44.75</v>
      </c>
      <c r="I81">
        <f t="shared" si="11"/>
        <v>20.59</v>
      </c>
      <c r="J81">
        <v>35.959000000000003</v>
      </c>
      <c r="K81">
        <v>175.77</v>
      </c>
      <c r="L81">
        <v>95.81</v>
      </c>
      <c r="M81">
        <f t="shared" si="12"/>
        <v>32.229000000000006</v>
      </c>
      <c r="N81">
        <v>175.77</v>
      </c>
      <c r="O81">
        <f t="shared" si="13"/>
        <v>8.5366682855755229</v>
      </c>
    </row>
    <row r="82" spans="4:15">
      <c r="D82" s="1" t="s">
        <v>93</v>
      </c>
      <c r="E82">
        <f t="shared" si="7"/>
        <v>55.71</v>
      </c>
      <c r="F82">
        <f t="shared" si="8"/>
        <v>32.85</v>
      </c>
      <c r="G82">
        <f t="shared" si="9"/>
        <v>24.16</v>
      </c>
      <c r="H82">
        <f t="shared" si="10"/>
        <v>44.75</v>
      </c>
      <c r="I82">
        <f t="shared" si="11"/>
        <v>20.59</v>
      </c>
      <c r="J82">
        <v>36.366999999999997</v>
      </c>
      <c r="K82">
        <v>182.68</v>
      </c>
      <c r="L82">
        <v>85.06</v>
      </c>
      <c r="M82">
        <f t="shared" si="12"/>
        <v>32.637</v>
      </c>
      <c r="N82">
        <v>182.68</v>
      </c>
      <c r="O82">
        <f t="shared" si="13"/>
        <v>8.8722680913064593</v>
      </c>
    </row>
    <row r="83" spans="4:15">
      <c r="D83" s="1" t="s">
        <v>94</v>
      </c>
      <c r="E83">
        <f t="shared" si="7"/>
        <v>56.131999999999998</v>
      </c>
      <c r="F83">
        <f t="shared" si="8"/>
        <v>33.271999999999998</v>
      </c>
      <c r="G83">
        <f t="shared" si="9"/>
        <v>24.16</v>
      </c>
      <c r="H83">
        <f t="shared" si="10"/>
        <v>45</v>
      </c>
      <c r="I83">
        <f t="shared" si="11"/>
        <v>20.84</v>
      </c>
      <c r="J83">
        <v>36.774999999999999</v>
      </c>
      <c r="K83">
        <v>184.64</v>
      </c>
      <c r="L83">
        <v>85.91</v>
      </c>
      <c r="M83">
        <f t="shared" si="12"/>
        <v>33.045000000000002</v>
      </c>
      <c r="N83">
        <v>184.64</v>
      </c>
      <c r="O83">
        <f t="shared" si="13"/>
        <v>8.8598848368522063</v>
      </c>
    </row>
    <row r="84" spans="4:15">
      <c r="D84" s="1" t="s">
        <v>95</v>
      </c>
      <c r="E84">
        <f t="shared" si="7"/>
        <v>56.5</v>
      </c>
      <c r="F84">
        <f t="shared" si="8"/>
        <v>33.64</v>
      </c>
      <c r="G84">
        <f t="shared" si="9"/>
        <v>24.16</v>
      </c>
      <c r="H84">
        <f t="shared" si="10"/>
        <v>45</v>
      </c>
      <c r="I84">
        <f t="shared" si="11"/>
        <v>20.84</v>
      </c>
      <c r="J84">
        <v>37.183</v>
      </c>
      <c r="K84">
        <v>183.03</v>
      </c>
      <c r="L84">
        <v>90.34</v>
      </c>
      <c r="M84">
        <f t="shared" si="12"/>
        <v>33.453000000000003</v>
      </c>
      <c r="N84">
        <v>183.03</v>
      </c>
      <c r="O84">
        <f t="shared" si="13"/>
        <v>8.7826295585412666</v>
      </c>
    </row>
    <row r="85" spans="4:15">
      <c r="D85" s="1" t="s">
        <v>96</v>
      </c>
      <c r="E85">
        <f t="shared" si="7"/>
        <v>56.956000000000003</v>
      </c>
      <c r="F85">
        <f t="shared" si="8"/>
        <v>34.096000000000004</v>
      </c>
      <c r="G85">
        <f t="shared" si="9"/>
        <v>24.16</v>
      </c>
      <c r="H85">
        <f t="shared" si="10"/>
        <v>45</v>
      </c>
      <c r="I85">
        <f t="shared" si="11"/>
        <v>20.84</v>
      </c>
      <c r="J85">
        <v>37.591000000000001</v>
      </c>
      <c r="K85">
        <v>187.22</v>
      </c>
      <c r="L85">
        <v>92.01</v>
      </c>
      <c r="M85">
        <f t="shared" si="12"/>
        <v>33.861000000000004</v>
      </c>
      <c r="N85">
        <v>187.22</v>
      </c>
      <c r="O85">
        <f t="shared" si="13"/>
        <v>8.9836852207293667</v>
      </c>
    </row>
    <row r="86" spans="4:15">
      <c r="D86" s="1" t="s">
        <v>97</v>
      </c>
      <c r="E86">
        <f t="shared" si="7"/>
        <v>57.32</v>
      </c>
      <c r="F86">
        <f t="shared" si="8"/>
        <v>34.46</v>
      </c>
      <c r="G86">
        <f t="shared" si="9"/>
        <v>24.16</v>
      </c>
      <c r="H86">
        <f t="shared" si="10"/>
        <v>44.75</v>
      </c>
      <c r="I86">
        <f t="shared" si="11"/>
        <v>20.59</v>
      </c>
      <c r="J86">
        <v>37.999000000000002</v>
      </c>
      <c r="K86">
        <v>202.53</v>
      </c>
      <c r="L86">
        <v>76.61</v>
      </c>
      <c r="M86">
        <f t="shared" si="12"/>
        <v>34.269000000000005</v>
      </c>
      <c r="N86">
        <v>202.53</v>
      </c>
      <c r="O86">
        <f t="shared" si="13"/>
        <v>9.8363283147158818</v>
      </c>
    </row>
    <row r="87" spans="4:15">
      <c r="D87" s="1" t="s">
        <v>98</v>
      </c>
      <c r="E87">
        <f t="shared" si="7"/>
        <v>57.728999999999999</v>
      </c>
      <c r="F87">
        <f t="shared" si="8"/>
        <v>34.869</v>
      </c>
      <c r="G87">
        <f t="shared" si="9"/>
        <v>24.16</v>
      </c>
      <c r="H87">
        <f t="shared" si="10"/>
        <v>45</v>
      </c>
      <c r="I87">
        <f t="shared" si="11"/>
        <v>20.84</v>
      </c>
      <c r="J87">
        <v>38.406999999999996</v>
      </c>
      <c r="K87">
        <v>188.24</v>
      </c>
      <c r="L87">
        <v>87.18</v>
      </c>
      <c r="M87">
        <f t="shared" si="12"/>
        <v>34.677</v>
      </c>
      <c r="N87">
        <v>188.24</v>
      </c>
      <c r="O87">
        <f t="shared" si="13"/>
        <v>9.0326295585412666</v>
      </c>
    </row>
    <row r="88" spans="4:15">
      <c r="D88" s="1" t="s">
        <v>99</v>
      </c>
      <c r="E88">
        <f t="shared" si="7"/>
        <v>58.139000000000003</v>
      </c>
      <c r="F88">
        <f t="shared" si="8"/>
        <v>35.279000000000003</v>
      </c>
      <c r="G88">
        <f t="shared" si="9"/>
        <v>24.16</v>
      </c>
      <c r="H88">
        <f t="shared" si="10"/>
        <v>44.75</v>
      </c>
      <c r="I88">
        <f t="shared" si="11"/>
        <v>20.59</v>
      </c>
      <c r="J88">
        <v>38.814</v>
      </c>
      <c r="K88">
        <v>189.75</v>
      </c>
      <c r="L88">
        <v>74.98</v>
      </c>
      <c r="M88">
        <f t="shared" si="12"/>
        <v>35.084000000000003</v>
      </c>
      <c r="N88">
        <v>189.75</v>
      </c>
      <c r="O88">
        <f t="shared" si="13"/>
        <v>9.2156386595434672</v>
      </c>
    </row>
    <row r="89" spans="4:15">
      <c r="D89" s="1" t="s">
        <v>100</v>
      </c>
      <c r="E89">
        <f t="shared" si="7"/>
        <v>58.576000000000001</v>
      </c>
      <c r="F89">
        <f t="shared" si="8"/>
        <v>35.716000000000001</v>
      </c>
      <c r="G89">
        <f t="shared" si="9"/>
        <v>24.16</v>
      </c>
      <c r="H89">
        <f t="shared" si="10"/>
        <v>44.75</v>
      </c>
      <c r="I89">
        <f t="shared" si="11"/>
        <v>20.59</v>
      </c>
      <c r="J89">
        <v>39.222000000000001</v>
      </c>
      <c r="K89">
        <v>182.73</v>
      </c>
      <c r="L89">
        <v>88.41</v>
      </c>
      <c r="M89">
        <f t="shared" si="12"/>
        <v>35.492000000000004</v>
      </c>
      <c r="N89">
        <v>182.73</v>
      </c>
      <c r="O89">
        <f t="shared" si="13"/>
        <v>8.874696454589607</v>
      </c>
    </row>
    <row r="90" spans="4:15">
      <c r="D90" s="1" t="s">
        <v>101</v>
      </c>
      <c r="E90">
        <f t="shared" si="7"/>
        <v>58.982999999999997</v>
      </c>
      <c r="F90">
        <f t="shared" si="8"/>
        <v>36.122999999999998</v>
      </c>
      <c r="G90">
        <f t="shared" si="9"/>
        <v>24.16</v>
      </c>
      <c r="H90">
        <f t="shared" si="10"/>
        <v>44.75</v>
      </c>
      <c r="I90">
        <f t="shared" si="11"/>
        <v>20.59</v>
      </c>
      <c r="J90">
        <v>39.631</v>
      </c>
      <c r="K90">
        <v>183.89</v>
      </c>
      <c r="L90">
        <v>86.17</v>
      </c>
      <c r="M90">
        <f t="shared" si="12"/>
        <v>35.901000000000003</v>
      </c>
      <c r="N90">
        <v>183.89</v>
      </c>
      <c r="O90">
        <f t="shared" si="13"/>
        <v>8.9310344827586192</v>
      </c>
    </row>
    <row r="91" spans="4:15">
      <c r="D91" s="1" t="s">
        <v>102</v>
      </c>
      <c r="E91">
        <f t="shared" si="7"/>
        <v>59.372</v>
      </c>
      <c r="F91">
        <f t="shared" si="8"/>
        <v>36.512</v>
      </c>
      <c r="G91">
        <f t="shared" si="9"/>
        <v>24.16</v>
      </c>
      <c r="H91">
        <f t="shared" si="10"/>
        <v>44.75</v>
      </c>
      <c r="I91">
        <f t="shared" si="11"/>
        <v>20.59</v>
      </c>
      <c r="J91">
        <v>40.039000000000001</v>
      </c>
      <c r="K91">
        <v>190.01</v>
      </c>
      <c r="L91">
        <v>84.66</v>
      </c>
      <c r="M91">
        <f t="shared" si="12"/>
        <v>36.309000000000005</v>
      </c>
      <c r="N91">
        <v>190.01</v>
      </c>
      <c r="O91">
        <f t="shared" si="13"/>
        <v>9.2282661486158322</v>
      </c>
    </row>
    <row r="92" spans="4:15">
      <c r="D92" s="1" t="s">
        <v>103</v>
      </c>
      <c r="E92">
        <f t="shared" si="7"/>
        <v>59.826000000000001</v>
      </c>
      <c r="F92">
        <f t="shared" si="8"/>
        <v>36.966000000000001</v>
      </c>
      <c r="G92">
        <f t="shared" si="9"/>
        <v>24.16</v>
      </c>
      <c r="H92">
        <f t="shared" si="10"/>
        <v>44.75</v>
      </c>
      <c r="I92">
        <f t="shared" si="11"/>
        <v>20.59</v>
      </c>
      <c r="J92">
        <v>40.445999999999998</v>
      </c>
      <c r="K92">
        <v>188.76</v>
      </c>
      <c r="L92">
        <v>87.96</v>
      </c>
      <c r="M92">
        <f t="shared" si="12"/>
        <v>36.716000000000001</v>
      </c>
      <c r="N92">
        <v>188.76</v>
      </c>
      <c r="O92">
        <f t="shared" si="13"/>
        <v>9.1675570665371531</v>
      </c>
    </row>
    <row r="93" spans="4:15">
      <c r="D93" s="1" t="s">
        <v>104</v>
      </c>
      <c r="E93">
        <f t="shared" si="7"/>
        <v>60.191000000000003</v>
      </c>
      <c r="F93">
        <f t="shared" si="8"/>
        <v>37.331000000000003</v>
      </c>
      <c r="G93">
        <f t="shared" si="9"/>
        <v>24.13</v>
      </c>
      <c r="H93">
        <f t="shared" si="10"/>
        <v>44.75</v>
      </c>
      <c r="I93">
        <f t="shared" si="11"/>
        <v>20.62</v>
      </c>
      <c r="J93">
        <v>40.854999999999997</v>
      </c>
      <c r="K93">
        <v>185.46</v>
      </c>
      <c r="L93">
        <v>88.14</v>
      </c>
      <c r="M93">
        <f t="shared" si="12"/>
        <v>37.125</v>
      </c>
      <c r="N93">
        <v>185.46</v>
      </c>
      <c r="O93">
        <f t="shared" si="13"/>
        <v>8.9941804073714842</v>
      </c>
    </row>
    <row r="94" spans="4:15">
      <c r="D94" s="1" t="s">
        <v>105</v>
      </c>
      <c r="E94">
        <f t="shared" si="7"/>
        <v>60.6</v>
      </c>
      <c r="F94">
        <f t="shared" si="8"/>
        <v>37.74</v>
      </c>
      <c r="G94">
        <f t="shared" si="9"/>
        <v>24.16</v>
      </c>
      <c r="H94">
        <f t="shared" si="10"/>
        <v>44.75</v>
      </c>
      <c r="I94">
        <f t="shared" si="11"/>
        <v>20.59</v>
      </c>
      <c r="J94">
        <v>41.262999999999998</v>
      </c>
      <c r="K94">
        <v>187.6</v>
      </c>
      <c r="L94">
        <v>81.83</v>
      </c>
      <c r="M94">
        <f t="shared" si="12"/>
        <v>37.533000000000001</v>
      </c>
      <c r="N94">
        <v>187.6</v>
      </c>
      <c r="O94">
        <f t="shared" si="13"/>
        <v>9.1112190383681391</v>
      </c>
    </row>
    <row r="95" spans="4:15">
      <c r="D95" s="1" t="s">
        <v>106</v>
      </c>
      <c r="E95">
        <f t="shared" si="7"/>
        <v>61.039000000000001</v>
      </c>
      <c r="F95">
        <f t="shared" si="8"/>
        <v>38.179000000000002</v>
      </c>
      <c r="G95">
        <f t="shared" si="9"/>
        <v>24.13</v>
      </c>
      <c r="H95">
        <f t="shared" si="10"/>
        <v>44.75</v>
      </c>
      <c r="I95">
        <f t="shared" si="11"/>
        <v>20.62</v>
      </c>
      <c r="J95">
        <v>41.67</v>
      </c>
      <c r="K95">
        <v>193.97</v>
      </c>
      <c r="L95">
        <v>77.040000000000006</v>
      </c>
      <c r="M95">
        <f t="shared" si="12"/>
        <v>37.940000000000005</v>
      </c>
      <c r="N95">
        <v>193.97</v>
      </c>
      <c r="O95">
        <f t="shared" si="13"/>
        <v>9.4068865179437431</v>
      </c>
    </row>
    <row r="96" spans="4:15">
      <c r="D96" s="1" t="s">
        <v>107</v>
      </c>
      <c r="E96">
        <f t="shared" si="7"/>
        <v>61.445999999999998</v>
      </c>
      <c r="F96">
        <f t="shared" si="8"/>
        <v>38.585999999999999</v>
      </c>
      <c r="G96">
        <f t="shared" si="9"/>
        <v>24.13</v>
      </c>
      <c r="H96">
        <f t="shared" si="10"/>
        <v>44.75</v>
      </c>
      <c r="I96">
        <f t="shared" si="11"/>
        <v>20.62</v>
      </c>
      <c r="J96">
        <v>42.079000000000001</v>
      </c>
      <c r="K96">
        <v>194.33</v>
      </c>
      <c r="L96">
        <v>87.24</v>
      </c>
      <c r="M96">
        <f t="shared" si="12"/>
        <v>38.349000000000004</v>
      </c>
      <c r="N96">
        <v>194.33</v>
      </c>
      <c r="O96">
        <f t="shared" si="13"/>
        <v>9.4243452958292924</v>
      </c>
    </row>
    <row r="97" spans="4:15">
      <c r="D97" s="1" t="s">
        <v>108</v>
      </c>
      <c r="E97">
        <f t="shared" si="7"/>
        <v>61.863999999999997</v>
      </c>
      <c r="F97">
        <f t="shared" si="8"/>
        <v>39.003999999999998</v>
      </c>
      <c r="G97">
        <f t="shared" si="9"/>
        <v>24.16</v>
      </c>
      <c r="H97">
        <f t="shared" si="10"/>
        <v>44.75</v>
      </c>
      <c r="I97">
        <f t="shared" si="11"/>
        <v>20.59</v>
      </c>
      <c r="J97">
        <v>42.487000000000002</v>
      </c>
      <c r="K97">
        <v>193.14</v>
      </c>
      <c r="L97">
        <v>87.04</v>
      </c>
      <c r="M97">
        <f t="shared" si="12"/>
        <v>38.757000000000005</v>
      </c>
      <c r="N97">
        <v>193.14</v>
      </c>
      <c r="O97">
        <f t="shared" si="13"/>
        <v>9.3802816901408441</v>
      </c>
    </row>
    <row r="98" spans="4:15">
      <c r="D98" s="1" t="s">
        <v>109</v>
      </c>
      <c r="E98">
        <f t="shared" si="7"/>
        <v>62.283000000000001</v>
      </c>
      <c r="F98">
        <f t="shared" si="8"/>
        <v>39.423000000000002</v>
      </c>
      <c r="G98">
        <f t="shared" si="9"/>
        <v>24.16</v>
      </c>
      <c r="H98">
        <f t="shared" si="10"/>
        <v>44.75</v>
      </c>
      <c r="I98">
        <f t="shared" si="11"/>
        <v>20.59</v>
      </c>
      <c r="J98">
        <v>42.895000000000003</v>
      </c>
      <c r="K98">
        <v>199.91</v>
      </c>
      <c r="L98">
        <v>77.02</v>
      </c>
      <c r="M98">
        <f t="shared" si="12"/>
        <v>39.165000000000006</v>
      </c>
      <c r="N98">
        <v>199.91</v>
      </c>
      <c r="O98">
        <f t="shared" si="13"/>
        <v>9.7090820786789696</v>
      </c>
    </row>
    <row r="99" spans="4:15">
      <c r="D99" s="1" t="s">
        <v>110</v>
      </c>
      <c r="E99">
        <f t="shared" si="7"/>
        <v>62.652000000000001</v>
      </c>
      <c r="F99">
        <f t="shared" si="8"/>
        <v>39.792000000000002</v>
      </c>
      <c r="G99">
        <f t="shared" si="9"/>
        <v>24.13</v>
      </c>
      <c r="H99">
        <f t="shared" si="10"/>
        <v>44.75</v>
      </c>
      <c r="I99">
        <f t="shared" si="11"/>
        <v>20.62</v>
      </c>
      <c r="J99">
        <v>43.302999999999997</v>
      </c>
      <c r="K99">
        <v>190.94</v>
      </c>
      <c r="L99">
        <v>93.57</v>
      </c>
      <c r="M99">
        <f t="shared" si="12"/>
        <v>39.573</v>
      </c>
      <c r="N99">
        <v>190.94</v>
      </c>
      <c r="O99">
        <f t="shared" si="13"/>
        <v>9.2599418040737138</v>
      </c>
    </row>
    <row r="100" spans="4:15">
      <c r="D100" s="1" t="s">
        <v>111</v>
      </c>
      <c r="E100">
        <f t="shared" si="7"/>
        <v>63.061</v>
      </c>
      <c r="F100">
        <f t="shared" si="8"/>
        <v>40.201000000000001</v>
      </c>
      <c r="G100">
        <f t="shared" si="9"/>
        <v>24.13</v>
      </c>
      <c r="H100">
        <f t="shared" si="10"/>
        <v>44.75</v>
      </c>
      <c r="I100">
        <f t="shared" si="11"/>
        <v>20.62</v>
      </c>
      <c r="J100">
        <v>43.71</v>
      </c>
      <c r="K100">
        <v>193.42</v>
      </c>
      <c r="L100">
        <v>87.02</v>
      </c>
      <c r="M100">
        <f t="shared" si="12"/>
        <v>39.980000000000004</v>
      </c>
      <c r="N100">
        <v>193.42</v>
      </c>
      <c r="O100">
        <f t="shared" si="13"/>
        <v>9.380213385063044</v>
      </c>
    </row>
    <row r="101" spans="4:15">
      <c r="D101" s="1" t="s">
        <v>112</v>
      </c>
      <c r="E101">
        <f t="shared" si="7"/>
        <v>63.515000000000001</v>
      </c>
      <c r="F101">
        <f t="shared" si="8"/>
        <v>40.655000000000001</v>
      </c>
      <c r="G101">
        <f t="shared" si="9"/>
        <v>24.16</v>
      </c>
      <c r="H101">
        <f t="shared" si="10"/>
        <v>44.75</v>
      </c>
      <c r="I101">
        <f t="shared" si="11"/>
        <v>20.59</v>
      </c>
      <c r="J101">
        <v>44.118000000000002</v>
      </c>
      <c r="K101">
        <v>201.39</v>
      </c>
      <c r="L101">
        <v>79.03</v>
      </c>
      <c r="M101">
        <f t="shared" si="12"/>
        <v>40.388000000000005</v>
      </c>
      <c r="N101">
        <v>201.39</v>
      </c>
      <c r="O101">
        <f t="shared" si="13"/>
        <v>9.7809616318601265</v>
      </c>
    </row>
    <row r="102" spans="4:15">
      <c r="D102" s="1" t="s">
        <v>113</v>
      </c>
      <c r="E102">
        <f t="shared" si="7"/>
        <v>63.88</v>
      </c>
      <c r="F102">
        <f t="shared" si="8"/>
        <v>41.02</v>
      </c>
      <c r="G102">
        <f t="shared" si="9"/>
        <v>24.16</v>
      </c>
      <c r="H102">
        <f t="shared" si="10"/>
        <v>44.5</v>
      </c>
      <c r="I102">
        <f t="shared" si="11"/>
        <v>20.34</v>
      </c>
      <c r="J102">
        <v>44.526000000000003</v>
      </c>
      <c r="K102">
        <v>189.68</v>
      </c>
      <c r="L102">
        <v>93.59</v>
      </c>
      <c r="M102">
        <f t="shared" si="12"/>
        <v>40.796000000000006</v>
      </c>
      <c r="N102">
        <v>189.68</v>
      </c>
      <c r="O102">
        <f t="shared" si="13"/>
        <v>9.3254670599803351</v>
      </c>
    </row>
    <row r="103" spans="4:15">
      <c r="D103" s="1" t="s">
        <v>114</v>
      </c>
      <c r="E103">
        <f t="shared" si="7"/>
        <v>64.325999999999993</v>
      </c>
      <c r="F103">
        <f t="shared" si="8"/>
        <v>41.465999999999994</v>
      </c>
      <c r="G103">
        <f t="shared" si="9"/>
        <v>24.16</v>
      </c>
      <c r="H103">
        <f t="shared" si="10"/>
        <v>44.5</v>
      </c>
      <c r="I103">
        <f t="shared" si="11"/>
        <v>20.34</v>
      </c>
      <c r="J103">
        <v>44.933999999999997</v>
      </c>
      <c r="K103">
        <v>192.49</v>
      </c>
      <c r="L103">
        <v>78.53</v>
      </c>
      <c r="M103">
        <f t="shared" si="12"/>
        <v>41.204000000000001</v>
      </c>
      <c r="N103">
        <v>192.49</v>
      </c>
      <c r="O103">
        <f t="shared" si="13"/>
        <v>9.46361848574238</v>
      </c>
    </row>
    <row r="104" spans="4:15">
      <c r="D104" s="1" t="s">
        <v>115</v>
      </c>
      <c r="E104">
        <f t="shared" si="7"/>
        <v>64.747</v>
      </c>
      <c r="F104">
        <f t="shared" si="8"/>
        <v>41.887</v>
      </c>
      <c r="G104">
        <f t="shared" si="9"/>
        <v>24.13</v>
      </c>
      <c r="H104">
        <f t="shared" si="10"/>
        <v>44.75</v>
      </c>
      <c r="I104">
        <f t="shared" si="11"/>
        <v>20.62</v>
      </c>
      <c r="J104">
        <v>45.341999999999999</v>
      </c>
      <c r="K104">
        <v>185.77</v>
      </c>
      <c r="L104">
        <v>90.54</v>
      </c>
      <c r="M104">
        <f t="shared" si="12"/>
        <v>41.612000000000002</v>
      </c>
      <c r="N104">
        <v>185.77</v>
      </c>
      <c r="O104">
        <f t="shared" si="13"/>
        <v>9.0092143549951498</v>
      </c>
    </row>
    <row r="105" spans="4:15">
      <c r="D105" s="1" t="s">
        <v>116</v>
      </c>
      <c r="E105">
        <f t="shared" si="7"/>
        <v>65.152000000000001</v>
      </c>
      <c r="F105">
        <f t="shared" si="8"/>
        <v>42.292000000000002</v>
      </c>
      <c r="G105">
        <f t="shared" si="9"/>
        <v>24.13</v>
      </c>
      <c r="H105">
        <f t="shared" si="10"/>
        <v>44.5</v>
      </c>
      <c r="I105">
        <f t="shared" si="11"/>
        <v>20.37</v>
      </c>
      <c r="J105">
        <v>45.75</v>
      </c>
      <c r="K105">
        <v>190.82</v>
      </c>
      <c r="L105">
        <v>79.040000000000006</v>
      </c>
      <c r="M105">
        <f t="shared" si="12"/>
        <v>42.02</v>
      </c>
      <c r="N105">
        <v>190.82</v>
      </c>
      <c r="O105">
        <f t="shared" si="13"/>
        <v>9.3676975945017169</v>
      </c>
    </row>
    <row r="106" spans="4:15">
      <c r="D106" s="1" t="s">
        <v>117</v>
      </c>
      <c r="E106">
        <f t="shared" si="7"/>
        <v>65.524000000000001</v>
      </c>
      <c r="F106">
        <f t="shared" si="8"/>
        <v>42.664000000000001</v>
      </c>
      <c r="G106">
        <f t="shared" si="9"/>
        <v>24.13</v>
      </c>
      <c r="H106">
        <f t="shared" si="10"/>
        <v>44.5</v>
      </c>
      <c r="I106">
        <f t="shared" si="11"/>
        <v>20.37</v>
      </c>
      <c r="J106">
        <v>46.158000000000001</v>
      </c>
      <c r="K106">
        <v>186.96</v>
      </c>
      <c r="L106">
        <v>93.71</v>
      </c>
      <c r="M106">
        <f t="shared" si="12"/>
        <v>42.428000000000004</v>
      </c>
      <c r="N106">
        <v>186.96</v>
      </c>
      <c r="O106">
        <f t="shared" si="13"/>
        <v>9.1782032400589095</v>
      </c>
    </row>
    <row r="107" spans="4:15">
      <c r="D107" s="1" t="s">
        <v>118</v>
      </c>
      <c r="E107">
        <f t="shared" si="7"/>
        <v>65.977000000000004</v>
      </c>
      <c r="F107">
        <f t="shared" si="8"/>
        <v>43.117000000000004</v>
      </c>
      <c r="G107">
        <f t="shared" si="9"/>
        <v>24.13</v>
      </c>
      <c r="H107">
        <f t="shared" si="10"/>
        <v>44.5</v>
      </c>
      <c r="I107">
        <f t="shared" si="11"/>
        <v>20.37</v>
      </c>
      <c r="J107">
        <v>46.566000000000003</v>
      </c>
      <c r="K107">
        <v>196.15</v>
      </c>
      <c r="L107">
        <v>84.01</v>
      </c>
      <c r="M107">
        <f t="shared" si="12"/>
        <v>42.836000000000006</v>
      </c>
      <c r="N107">
        <v>196.15</v>
      </c>
      <c r="O107">
        <f t="shared" si="13"/>
        <v>9.6293568973981341</v>
      </c>
    </row>
    <row r="108" spans="4:15">
      <c r="D108" s="1" t="s">
        <v>119</v>
      </c>
      <c r="E108">
        <f t="shared" si="7"/>
        <v>66.343000000000004</v>
      </c>
      <c r="F108">
        <f t="shared" si="8"/>
        <v>43.483000000000004</v>
      </c>
      <c r="G108">
        <f t="shared" si="9"/>
        <v>24.1</v>
      </c>
      <c r="H108">
        <f t="shared" si="10"/>
        <v>44.5</v>
      </c>
      <c r="I108">
        <f t="shared" si="11"/>
        <v>20.399999999999999</v>
      </c>
      <c r="J108">
        <v>46.972999999999999</v>
      </c>
      <c r="K108">
        <v>195.87</v>
      </c>
      <c r="L108">
        <v>83.79</v>
      </c>
      <c r="M108">
        <f t="shared" si="12"/>
        <v>43.243000000000002</v>
      </c>
      <c r="N108">
        <v>195.87</v>
      </c>
      <c r="O108">
        <f t="shared" si="13"/>
        <v>9.6014705882352942</v>
      </c>
    </row>
    <row r="109" spans="4:15">
      <c r="D109" s="1" t="s">
        <v>120</v>
      </c>
      <c r="E109">
        <f t="shared" si="7"/>
        <v>66.751999999999995</v>
      </c>
      <c r="F109">
        <f t="shared" si="8"/>
        <v>43.891999999999996</v>
      </c>
      <c r="G109">
        <f t="shared" si="9"/>
        <v>24.16</v>
      </c>
      <c r="H109">
        <f t="shared" si="10"/>
        <v>44.5</v>
      </c>
      <c r="I109">
        <f t="shared" si="11"/>
        <v>20.34</v>
      </c>
      <c r="J109">
        <v>47.381</v>
      </c>
      <c r="K109">
        <v>198.61</v>
      </c>
      <c r="L109">
        <v>75.63</v>
      </c>
      <c r="M109">
        <f t="shared" si="12"/>
        <v>43.651000000000003</v>
      </c>
      <c r="N109">
        <v>198.61</v>
      </c>
      <c r="O109">
        <f t="shared" si="13"/>
        <v>9.7645034414945933</v>
      </c>
    </row>
    <row r="110" spans="4:15">
      <c r="D110" s="1" t="s">
        <v>121</v>
      </c>
      <c r="E110">
        <f t="shared" si="7"/>
        <v>67.192000000000007</v>
      </c>
      <c r="F110">
        <f t="shared" si="8"/>
        <v>44.332000000000008</v>
      </c>
      <c r="G110">
        <f t="shared" si="9"/>
        <v>24.16</v>
      </c>
      <c r="H110">
        <f t="shared" si="10"/>
        <v>44.5</v>
      </c>
      <c r="I110">
        <f t="shared" si="11"/>
        <v>20.34</v>
      </c>
      <c r="J110">
        <v>47.789000000000001</v>
      </c>
      <c r="K110">
        <v>195.13</v>
      </c>
      <c r="L110">
        <v>83.43</v>
      </c>
      <c r="M110">
        <f t="shared" si="12"/>
        <v>44.059000000000005</v>
      </c>
      <c r="N110">
        <v>195.13</v>
      </c>
      <c r="O110">
        <f t="shared" si="13"/>
        <v>9.5934119960668625</v>
      </c>
    </row>
    <row r="111" spans="4:15">
      <c r="D111" s="1" t="s">
        <v>122</v>
      </c>
      <c r="E111">
        <f t="shared" si="7"/>
        <v>67.611999999999995</v>
      </c>
      <c r="F111">
        <f t="shared" si="8"/>
        <v>44.751999999999995</v>
      </c>
      <c r="G111">
        <f t="shared" si="9"/>
        <v>24.13</v>
      </c>
      <c r="H111">
        <f t="shared" si="10"/>
        <v>44.5</v>
      </c>
      <c r="I111">
        <f t="shared" si="11"/>
        <v>20.37</v>
      </c>
      <c r="J111">
        <v>48.198</v>
      </c>
      <c r="K111">
        <v>197.54</v>
      </c>
      <c r="L111">
        <v>78.290000000000006</v>
      </c>
      <c r="M111">
        <f t="shared" si="12"/>
        <v>44.468000000000004</v>
      </c>
      <c r="N111">
        <v>197.54</v>
      </c>
      <c r="O111">
        <f t="shared" si="13"/>
        <v>9.6975945017182124</v>
      </c>
    </row>
    <row r="112" spans="4:15">
      <c r="D112" s="1" t="s">
        <v>123</v>
      </c>
      <c r="E112">
        <f t="shared" si="7"/>
        <v>67.984999999999999</v>
      </c>
      <c r="F112">
        <f t="shared" si="8"/>
        <v>45.125</v>
      </c>
      <c r="G112">
        <f t="shared" si="9"/>
        <v>24.1</v>
      </c>
      <c r="H112">
        <f t="shared" si="10"/>
        <v>44.25</v>
      </c>
      <c r="I112">
        <f t="shared" si="11"/>
        <v>20.149999999999999</v>
      </c>
      <c r="J112">
        <v>48.606000000000002</v>
      </c>
      <c r="K112">
        <v>187.15</v>
      </c>
      <c r="L112">
        <v>91.6</v>
      </c>
      <c r="M112">
        <f t="shared" si="12"/>
        <v>44.876000000000005</v>
      </c>
      <c r="N112">
        <v>187.15</v>
      </c>
      <c r="O112">
        <f t="shared" si="13"/>
        <v>9.2878411910669989</v>
      </c>
    </row>
    <row r="113" spans="4:15">
      <c r="D113" s="1" t="s">
        <v>124</v>
      </c>
      <c r="E113">
        <f t="shared" si="7"/>
        <v>68.436999999999998</v>
      </c>
      <c r="F113">
        <f t="shared" si="8"/>
        <v>45.576999999999998</v>
      </c>
      <c r="G113">
        <f t="shared" si="9"/>
        <v>24.13</v>
      </c>
      <c r="H113">
        <f t="shared" si="10"/>
        <v>44.5</v>
      </c>
      <c r="I113">
        <f t="shared" si="11"/>
        <v>20.37</v>
      </c>
      <c r="J113">
        <v>49.014000000000003</v>
      </c>
      <c r="K113">
        <v>179.45</v>
      </c>
      <c r="L113">
        <v>94.9</v>
      </c>
      <c r="M113">
        <f t="shared" si="12"/>
        <v>45.284000000000006</v>
      </c>
      <c r="N113">
        <v>179.45</v>
      </c>
      <c r="O113">
        <f t="shared" si="13"/>
        <v>8.8095238095238084</v>
      </c>
    </row>
    <row r="114" spans="4:15">
      <c r="D114" s="1" t="s">
        <v>125</v>
      </c>
      <c r="E114">
        <f t="shared" si="7"/>
        <v>68.841999999999999</v>
      </c>
      <c r="F114">
        <f t="shared" si="8"/>
        <v>45.981999999999999</v>
      </c>
      <c r="G114">
        <f t="shared" si="9"/>
        <v>24.13</v>
      </c>
      <c r="H114">
        <f t="shared" si="10"/>
        <v>44.25</v>
      </c>
      <c r="I114">
        <f t="shared" si="11"/>
        <v>20.12</v>
      </c>
      <c r="J114">
        <v>49.421999999999997</v>
      </c>
      <c r="K114">
        <v>188.16</v>
      </c>
      <c r="L114">
        <v>88.95</v>
      </c>
      <c r="M114">
        <f t="shared" si="12"/>
        <v>45.692</v>
      </c>
      <c r="N114">
        <v>188.16</v>
      </c>
      <c r="O114">
        <f t="shared" si="13"/>
        <v>9.3518886679920463</v>
      </c>
    </row>
    <row r="115" spans="4:15">
      <c r="D115" s="1" t="s">
        <v>126</v>
      </c>
      <c r="E115">
        <f t="shared" si="7"/>
        <v>69.247</v>
      </c>
      <c r="F115">
        <f t="shared" si="8"/>
        <v>46.387</v>
      </c>
      <c r="G115">
        <f t="shared" si="9"/>
        <v>24.13</v>
      </c>
      <c r="H115">
        <f t="shared" si="10"/>
        <v>44.25</v>
      </c>
      <c r="I115">
        <f t="shared" si="11"/>
        <v>20.12</v>
      </c>
      <c r="J115">
        <v>49.83</v>
      </c>
      <c r="K115">
        <v>195.94</v>
      </c>
      <c r="L115">
        <v>80.930000000000007</v>
      </c>
      <c r="M115">
        <f t="shared" si="12"/>
        <v>46.1</v>
      </c>
      <c r="N115">
        <v>195.94</v>
      </c>
      <c r="O115">
        <f t="shared" si="13"/>
        <v>9.7385685884691835</v>
      </c>
    </row>
    <row r="116" spans="4:15">
      <c r="D116" s="1" t="s">
        <v>127</v>
      </c>
      <c r="E116">
        <f t="shared" si="7"/>
        <v>69.667000000000002</v>
      </c>
      <c r="F116">
        <f t="shared" si="8"/>
        <v>46.807000000000002</v>
      </c>
      <c r="G116">
        <f t="shared" si="9"/>
        <v>24.13</v>
      </c>
      <c r="H116">
        <f t="shared" si="10"/>
        <v>44.5</v>
      </c>
      <c r="I116">
        <f t="shared" si="11"/>
        <v>20.37</v>
      </c>
      <c r="J116">
        <v>50.238</v>
      </c>
      <c r="K116">
        <v>188.71</v>
      </c>
      <c r="L116">
        <v>87.42</v>
      </c>
      <c r="M116">
        <f t="shared" si="12"/>
        <v>46.508000000000003</v>
      </c>
      <c r="N116">
        <v>188.71</v>
      </c>
      <c r="O116">
        <f t="shared" si="13"/>
        <v>9.2641138929798714</v>
      </c>
    </row>
    <row r="117" spans="4:15">
      <c r="D117" s="1" t="s">
        <v>128</v>
      </c>
      <c r="E117">
        <f t="shared" si="7"/>
        <v>70.036000000000001</v>
      </c>
      <c r="F117">
        <f t="shared" si="8"/>
        <v>47.176000000000002</v>
      </c>
      <c r="G117">
        <f t="shared" si="9"/>
        <v>24.1</v>
      </c>
      <c r="H117">
        <f t="shared" si="10"/>
        <v>44.5</v>
      </c>
      <c r="I117">
        <f t="shared" si="11"/>
        <v>20.399999999999999</v>
      </c>
      <c r="J117">
        <v>50.646000000000001</v>
      </c>
      <c r="K117">
        <v>181.57</v>
      </c>
      <c r="L117">
        <v>92.05</v>
      </c>
      <c r="M117">
        <f t="shared" si="12"/>
        <v>46.916000000000004</v>
      </c>
      <c r="N117">
        <v>181.57</v>
      </c>
      <c r="O117">
        <f t="shared" si="13"/>
        <v>8.9004901960784313</v>
      </c>
    </row>
    <row r="118" spans="4:15">
      <c r="D118" s="1" t="s">
        <v>129</v>
      </c>
      <c r="E118">
        <f t="shared" si="7"/>
        <v>70.475999999999999</v>
      </c>
      <c r="F118">
        <f t="shared" si="8"/>
        <v>47.616</v>
      </c>
      <c r="G118">
        <f t="shared" si="9"/>
        <v>24.13</v>
      </c>
      <c r="H118">
        <f t="shared" si="10"/>
        <v>44.5</v>
      </c>
      <c r="I118">
        <f t="shared" si="11"/>
        <v>20.37</v>
      </c>
      <c r="J118">
        <v>51.054000000000002</v>
      </c>
      <c r="K118">
        <v>186.82</v>
      </c>
      <c r="L118">
        <v>81.180000000000007</v>
      </c>
      <c r="M118">
        <f t="shared" si="12"/>
        <v>47.324000000000005</v>
      </c>
      <c r="N118">
        <v>186.82</v>
      </c>
      <c r="O118">
        <f t="shared" si="13"/>
        <v>9.1713303878252326</v>
      </c>
    </row>
    <row r="119" spans="4:15">
      <c r="D119" s="1" t="s">
        <v>130</v>
      </c>
      <c r="E119">
        <f t="shared" si="7"/>
        <v>70.894000000000005</v>
      </c>
      <c r="F119">
        <f t="shared" si="8"/>
        <v>48.034000000000006</v>
      </c>
      <c r="G119">
        <f t="shared" si="9"/>
        <v>24.13</v>
      </c>
      <c r="H119">
        <f t="shared" si="10"/>
        <v>44.5</v>
      </c>
      <c r="I119">
        <f t="shared" si="11"/>
        <v>20.37</v>
      </c>
      <c r="J119">
        <v>51.462000000000003</v>
      </c>
      <c r="K119">
        <v>187.1</v>
      </c>
      <c r="L119">
        <v>84.45</v>
      </c>
      <c r="M119">
        <f t="shared" si="12"/>
        <v>47.732000000000006</v>
      </c>
      <c r="N119">
        <v>187.1</v>
      </c>
      <c r="O119">
        <f t="shared" si="13"/>
        <v>9.1850760922925865</v>
      </c>
    </row>
    <row r="120" spans="4:15">
      <c r="D120" s="1" t="s">
        <v>131</v>
      </c>
      <c r="E120">
        <f t="shared" si="7"/>
        <v>71.3</v>
      </c>
      <c r="F120">
        <f t="shared" si="8"/>
        <v>48.44</v>
      </c>
      <c r="G120">
        <f t="shared" si="9"/>
        <v>24.13</v>
      </c>
      <c r="H120">
        <f t="shared" si="10"/>
        <v>44.5</v>
      </c>
      <c r="I120">
        <f t="shared" si="11"/>
        <v>20.37</v>
      </c>
      <c r="J120">
        <v>51.87</v>
      </c>
      <c r="K120">
        <v>193.55</v>
      </c>
      <c r="L120">
        <v>82.97</v>
      </c>
      <c r="M120">
        <f t="shared" si="12"/>
        <v>48.14</v>
      </c>
      <c r="N120">
        <v>193.55</v>
      </c>
      <c r="O120">
        <f t="shared" si="13"/>
        <v>9.5017182130584192</v>
      </c>
    </row>
    <row r="121" spans="4:15">
      <c r="D121" s="1" t="s">
        <v>132</v>
      </c>
      <c r="E121">
        <f t="shared" si="7"/>
        <v>71.704000000000008</v>
      </c>
      <c r="F121">
        <f t="shared" si="8"/>
        <v>48.844000000000008</v>
      </c>
      <c r="G121">
        <f t="shared" si="9"/>
        <v>24.13</v>
      </c>
      <c r="H121">
        <f t="shared" si="10"/>
        <v>44.5</v>
      </c>
      <c r="I121">
        <f t="shared" si="11"/>
        <v>20.37</v>
      </c>
      <c r="J121">
        <v>52.277999999999999</v>
      </c>
      <c r="K121">
        <v>193.05</v>
      </c>
      <c r="L121">
        <v>87.3</v>
      </c>
      <c r="M121">
        <f t="shared" si="12"/>
        <v>48.548000000000002</v>
      </c>
      <c r="N121">
        <v>193.05</v>
      </c>
      <c r="O121">
        <f t="shared" si="13"/>
        <v>9.4771723122238587</v>
      </c>
    </row>
    <row r="122" spans="4:15">
      <c r="D122" s="1" t="s">
        <v>133</v>
      </c>
      <c r="E122">
        <f t="shared" si="7"/>
        <v>72.125</v>
      </c>
      <c r="F122">
        <f t="shared" si="8"/>
        <v>49.265000000000001</v>
      </c>
      <c r="G122">
        <f t="shared" si="9"/>
        <v>24.13</v>
      </c>
      <c r="H122">
        <f t="shared" si="10"/>
        <v>44.5</v>
      </c>
      <c r="I122">
        <f t="shared" si="11"/>
        <v>20.37</v>
      </c>
      <c r="J122">
        <v>52.686</v>
      </c>
      <c r="K122">
        <v>191.75</v>
      </c>
      <c r="L122">
        <v>83.92</v>
      </c>
      <c r="M122">
        <f t="shared" si="12"/>
        <v>48.956000000000003</v>
      </c>
      <c r="N122">
        <v>191.75</v>
      </c>
      <c r="O122">
        <f t="shared" si="13"/>
        <v>9.4133529700540013</v>
      </c>
    </row>
    <row r="123" spans="4:15">
      <c r="D123" s="1" t="s">
        <v>134</v>
      </c>
      <c r="E123">
        <f t="shared" si="7"/>
        <v>72.498000000000005</v>
      </c>
      <c r="F123">
        <f t="shared" si="8"/>
        <v>49.638000000000005</v>
      </c>
      <c r="G123">
        <f t="shared" si="9"/>
        <v>24.13</v>
      </c>
      <c r="H123">
        <f t="shared" si="10"/>
        <v>44.5</v>
      </c>
      <c r="I123">
        <f t="shared" si="11"/>
        <v>20.37</v>
      </c>
      <c r="J123">
        <v>53.093000000000004</v>
      </c>
      <c r="K123">
        <v>190.55</v>
      </c>
      <c r="L123">
        <v>78.75</v>
      </c>
      <c r="M123">
        <f t="shared" si="12"/>
        <v>49.363000000000007</v>
      </c>
      <c r="N123">
        <v>190.55</v>
      </c>
      <c r="O123">
        <f t="shared" si="13"/>
        <v>9.354442808051056</v>
      </c>
    </row>
    <row r="124" spans="4:15">
      <c r="D124" s="1" t="s">
        <v>135</v>
      </c>
      <c r="E124">
        <f t="shared" si="7"/>
        <v>72.95</v>
      </c>
      <c r="F124">
        <f t="shared" si="8"/>
        <v>50.09</v>
      </c>
      <c r="G124">
        <f t="shared" si="9"/>
        <v>24.13</v>
      </c>
      <c r="H124">
        <f t="shared" si="10"/>
        <v>44.5</v>
      </c>
      <c r="I124">
        <f t="shared" si="11"/>
        <v>20.37</v>
      </c>
      <c r="J124">
        <v>53.502000000000002</v>
      </c>
      <c r="K124">
        <v>185.18</v>
      </c>
      <c r="L124">
        <v>86.79</v>
      </c>
      <c r="M124">
        <f t="shared" si="12"/>
        <v>49.772000000000006</v>
      </c>
      <c r="N124">
        <v>185.18</v>
      </c>
      <c r="O124">
        <f t="shared" si="13"/>
        <v>9.090819833087874</v>
      </c>
    </row>
    <row r="125" spans="4:15">
      <c r="D125" s="1" t="s">
        <v>136</v>
      </c>
      <c r="E125">
        <f t="shared" si="7"/>
        <v>73.337999999999994</v>
      </c>
      <c r="F125">
        <f t="shared" si="8"/>
        <v>50.477999999999994</v>
      </c>
      <c r="G125">
        <f t="shared" si="9"/>
        <v>24.13</v>
      </c>
      <c r="H125">
        <f t="shared" si="10"/>
        <v>44.5</v>
      </c>
      <c r="I125">
        <f t="shared" si="11"/>
        <v>20.37</v>
      </c>
      <c r="J125">
        <v>53.908999999999999</v>
      </c>
      <c r="K125">
        <v>190.65</v>
      </c>
      <c r="L125">
        <v>80.81</v>
      </c>
      <c r="M125">
        <f t="shared" si="12"/>
        <v>50.179000000000002</v>
      </c>
      <c r="N125">
        <v>190.65</v>
      </c>
      <c r="O125">
        <f t="shared" si="13"/>
        <v>9.3593519882179681</v>
      </c>
    </row>
    <row r="126" spans="4:15">
      <c r="D126" s="1" t="s">
        <v>137</v>
      </c>
      <c r="E126">
        <f t="shared" si="7"/>
        <v>73.745000000000005</v>
      </c>
      <c r="F126">
        <f t="shared" si="8"/>
        <v>50.885000000000005</v>
      </c>
      <c r="G126">
        <f t="shared" si="9"/>
        <v>24.1</v>
      </c>
      <c r="H126">
        <f t="shared" si="10"/>
        <v>44.5</v>
      </c>
      <c r="I126">
        <f t="shared" si="11"/>
        <v>20.399999999999999</v>
      </c>
      <c r="J126">
        <v>54.317</v>
      </c>
      <c r="K126">
        <v>194.19</v>
      </c>
      <c r="L126">
        <v>93.08</v>
      </c>
      <c r="M126">
        <f t="shared" si="12"/>
        <v>50.587000000000003</v>
      </c>
      <c r="N126">
        <v>194.19</v>
      </c>
      <c r="O126">
        <f t="shared" si="13"/>
        <v>9.5191176470588239</v>
      </c>
    </row>
    <row r="127" spans="4:15">
      <c r="D127" s="1" t="s">
        <v>138</v>
      </c>
      <c r="E127">
        <f t="shared" si="7"/>
        <v>74.164999999999992</v>
      </c>
      <c r="F127">
        <f t="shared" si="8"/>
        <v>51.304999999999993</v>
      </c>
      <c r="G127">
        <f t="shared" si="9"/>
        <v>24.13</v>
      </c>
      <c r="H127">
        <f t="shared" si="10"/>
        <v>44.5</v>
      </c>
      <c r="I127">
        <f t="shared" si="11"/>
        <v>20.37</v>
      </c>
      <c r="J127">
        <v>54.725000000000001</v>
      </c>
      <c r="K127">
        <v>205.96</v>
      </c>
      <c r="L127">
        <v>81.739999999999995</v>
      </c>
      <c r="M127">
        <f t="shared" si="12"/>
        <v>50.995000000000005</v>
      </c>
      <c r="N127">
        <v>205.96</v>
      </c>
      <c r="O127">
        <f t="shared" si="13"/>
        <v>10.110947471772214</v>
      </c>
    </row>
    <row r="128" spans="4:15">
      <c r="D128" s="1" t="s">
        <v>139</v>
      </c>
      <c r="E128">
        <f t="shared" si="7"/>
        <v>74.567999999999998</v>
      </c>
      <c r="F128">
        <f t="shared" si="8"/>
        <v>51.707999999999998</v>
      </c>
      <c r="G128">
        <f t="shared" si="9"/>
        <v>24.13</v>
      </c>
      <c r="H128">
        <f t="shared" si="10"/>
        <v>44.5</v>
      </c>
      <c r="I128">
        <f t="shared" si="11"/>
        <v>20.37</v>
      </c>
      <c r="J128">
        <v>55.134</v>
      </c>
      <c r="K128">
        <v>198.05</v>
      </c>
      <c r="L128">
        <v>88.05</v>
      </c>
      <c r="M128">
        <f t="shared" si="12"/>
        <v>51.404000000000003</v>
      </c>
      <c r="N128">
        <v>198.05</v>
      </c>
      <c r="O128">
        <f t="shared" si="13"/>
        <v>9.7226313205694641</v>
      </c>
    </row>
    <row r="129" spans="4:15">
      <c r="D129" s="1" t="s">
        <v>140</v>
      </c>
      <c r="E129">
        <f t="shared" si="7"/>
        <v>74.960000000000008</v>
      </c>
      <c r="F129">
        <f t="shared" si="8"/>
        <v>52.100000000000009</v>
      </c>
      <c r="G129">
        <f t="shared" si="9"/>
        <v>24.1</v>
      </c>
      <c r="H129">
        <f t="shared" si="10"/>
        <v>44.5</v>
      </c>
      <c r="I129">
        <f t="shared" si="11"/>
        <v>20.399999999999999</v>
      </c>
      <c r="J129">
        <v>55.540999999999997</v>
      </c>
      <c r="K129">
        <v>195.68</v>
      </c>
      <c r="L129">
        <v>78.19</v>
      </c>
      <c r="M129">
        <f t="shared" si="12"/>
        <v>51.811</v>
      </c>
      <c r="N129">
        <v>195.68</v>
      </c>
      <c r="O129">
        <f t="shared" si="13"/>
        <v>9.5921568627450995</v>
      </c>
    </row>
    <row r="130" spans="4:15">
      <c r="D130" s="1" t="s">
        <v>141</v>
      </c>
      <c r="E130">
        <f t="shared" si="7"/>
        <v>75.369</v>
      </c>
      <c r="F130">
        <f t="shared" si="8"/>
        <v>52.509</v>
      </c>
      <c r="G130">
        <f t="shared" si="9"/>
        <v>24.13</v>
      </c>
      <c r="H130">
        <f t="shared" si="10"/>
        <v>44.75</v>
      </c>
      <c r="I130">
        <f t="shared" si="11"/>
        <v>20.62</v>
      </c>
      <c r="J130">
        <v>55.948999999999998</v>
      </c>
      <c r="K130">
        <v>182.47</v>
      </c>
      <c r="L130">
        <v>91.67</v>
      </c>
      <c r="M130">
        <f t="shared" si="12"/>
        <v>52.219000000000001</v>
      </c>
      <c r="N130">
        <v>182.47</v>
      </c>
      <c r="O130">
        <f t="shared" si="13"/>
        <v>8.849175557710959</v>
      </c>
    </row>
    <row r="131" spans="4:15">
      <c r="D131" s="1" t="s">
        <v>142</v>
      </c>
      <c r="E131">
        <f t="shared" ref="E131:E148" si="14">60*VALUE(MID(D131,4,2))+VALUE(MID(D131,7,6))</f>
        <v>75.811999999999998</v>
      </c>
      <c r="F131">
        <f t="shared" ref="F131:F148" si="15">E131-E$2</f>
        <v>52.951999999999998</v>
      </c>
      <c r="G131">
        <f t="shared" ref="G131:G148" si="16">VALUE(RIGHT(D131,5))</f>
        <v>24.13</v>
      </c>
      <c r="H131">
        <f t="shared" ref="H131:H148" si="17">VALUE(MID(D131,16,6))</f>
        <v>44.5</v>
      </c>
      <c r="I131">
        <f t="shared" ref="I131:I148" si="18">H131-G131</f>
        <v>20.37</v>
      </c>
      <c r="J131">
        <v>56.356999999999999</v>
      </c>
      <c r="K131">
        <v>187.89</v>
      </c>
      <c r="L131">
        <v>76.2</v>
      </c>
      <c r="M131">
        <f t="shared" ref="M131:M150" si="19">J131-3.73</f>
        <v>52.627000000000002</v>
      </c>
      <c r="N131">
        <v>187.89</v>
      </c>
      <c r="O131">
        <f t="shared" ref="O131:O150" si="20">N131/I131</f>
        <v>9.2238586156111921</v>
      </c>
    </row>
    <row r="132" spans="4:15">
      <c r="D132" s="1" t="s">
        <v>143</v>
      </c>
      <c r="E132">
        <f t="shared" si="14"/>
        <v>76.218000000000004</v>
      </c>
      <c r="F132">
        <f t="shared" si="15"/>
        <v>53.358000000000004</v>
      </c>
      <c r="G132">
        <f t="shared" si="16"/>
        <v>24.13</v>
      </c>
      <c r="H132">
        <f t="shared" si="17"/>
        <v>44.5</v>
      </c>
      <c r="I132">
        <f t="shared" si="18"/>
        <v>20.37</v>
      </c>
      <c r="J132">
        <v>56.765000000000001</v>
      </c>
      <c r="K132">
        <v>178.04</v>
      </c>
      <c r="L132">
        <v>94.48</v>
      </c>
      <c r="M132">
        <f t="shared" si="19"/>
        <v>53.035000000000004</v>
      </c>
      <c r="N132">
        <v>178.04</v>
      </c>
      <c r="O132">
        <f t="shared" si="20"/>
        <v>8.7403043691703477</v>
      </c>
    </row>
    <row r="133" spans="4:15">
      <c r="D133" s="1" t="s">
        <v>144</v>
      </c>
      <c r="E133">
        <f t="shared" si="14"/>
        <v>76.643000000000001</v>
      </c>
      <c r="F133">
        <f t="shared" si="15"/>
        <v>53.783000000000001</v>
      </c>
      <c r="G133">
        <f t="shared" si="16"/>
        <v>24.13</v>
      </c>
      <c r="H133">
        <f t="shared" si="17"/>
        <v>44.75</v>
      </c>
      <c r="I133">
        <f t="shared" si="18"/>
        <v>20.62</v>
      </c>
      <c r="J133">
        <v>57.171999999999997</v>
      </c>
      <c r="K133">
        <v>187.07</v>
      </c>
      <c r="L133">
        <v>78.97</v>
      </c>
      <c r="M133">
        <f t="shared" si="19"/>
        <v>53.442</v>
      </c>
      <c r="N133">
        <v>187.07</v>
      </c>
      <c r="O133">
        <f t="shared" si="20"/>
        <v>9.0722599418040737</v>
      </c>
    </row>
    <row r="134" spans="4:15">
      <c r="D134" s="1" t="s">
        <v>145</v>
      </c>
      <c r="E134">
        <f t="shared" si="14"/>
        <v>77.049000000000007</v>
      </c>
      <c r="F134">
        <f t="shared" si="15"/>
        <v>54.189000000000007</v>
      </c>
      <c r="G134">
        <f t="shared" si="16"/>
        <v>24.13</v>
      </c>
      <c r="H134">
        <f t="shared" si="17"/>
        <v>44.5</v>
      </c>
      <c r="I134">
        <f t="shared" si="18"/>
        <v>20.37</v>
      </c>
      <c r="J134">
        <v>57.58</v>
      </c>
      <c r="K134">
        <v>183.66</v>
      </c>
      <c r="L134">
        <v>86.87</v>
      </c>
      <c r="M134">
        <f t="shared" si="19"/>
        <v>53.85</v>
      </c>
      <c r="N134">
        <v>183.66</v>
      </c>
      <c r="O134">
        <f t="shared" si="20"/>
        <v>9.01620029455081</v>
      </c>
    </row>
    <row r="135" spans="4:15">
      <c r="D135" s="1" t="s">
        <v>146</v>
      </c>
      <c r="E135">
        <f t="shared" si="14"/>
        <v>77.454000000000008</v>
      </c>
      <c r="F135">
        <f t="shared" si="15"/>
        <v>54.594000000000008</v>
      </c>
      <c r="G135">
        <f t="shared" si="16"/>
        <v>24.13</v>
      </c>
      <c r="H135">
        <f t="shared" si="17"/>
        <v>44.5</v>
      </c>
      <c r="I135">
        <f t="shared" si="18"/>
        <v>20.37</v>
      </c>
      <c r="J135">
        <v>57.988999999999997</v>
      </c>
      <c r="K135">
        <v>183.17</v>
      </c>
      <c r="L135">
        <v>83.98</v>
      </c>
      <c r="M135">
        <f t="shared" si="19"/>
        <v>54.259</v>
      </c>
      <c r="N135">
        <v>183.17</v>
      </c>
      <c r="O135">
        <f t="shared" si="20"/>
        <v>8.9921453117329389</v>
      </c>
    </row>
    <row r="136" spans="4:15">
      <c r="D136" s="1" t="s">
        <v>147</v>
      </c>
      <c r="E136">
        <f t="shared" si="14"/>
        <v>77.875</v>
      </c>
      <c r="F136">
        <f t="shared" si="15"/>
        <v>55.015000000000001</v>
      </c>
      <c r="G136">
        <f t="shared" si="16"/>
        <v>24.13</v>
      </c>
      <c r="H136">
        <f t="shared" si="17"/>
        <v>44.5</v>
      </c>
      <c r="I136">
        <f t="shared" si="18"/>
        <v>20.37</v>
      </c>
      <c r="J136">
        <v>58.396999999999998</v>
      </c>
      <c r="K136">
        <v>174.91</v>
      </c>
      <c r="L136">
        <v>95.9</v>
      </c>
      <c r="M136">
        <f t="shared" si="19"/>
        <v>54.667000000000002</v>
      </c>
      <c r="N136">
        <v>174.91</v>
      </c>
      <c r="O136">
        <f t="shared" si="20"/>
        <v>8.5866470299459987</v>
      </c>
    </row>
    <row r="137" spans="4:15">
      <c r="D137" s="1" t="s">
        <v>148</v>
      </c>
      <c r="E137">
        <f t="shared" si="14"/>
        <v>78.28</v>
      </c>
      <c r="F137">
        <f t="shared" si="15"/>
        <v>55.42</v>
      </c>
      <c r="G137">
        <f t="shared" si="16"/>
        <v>24.13</v>
      </c>
      <c r="H137">
        <f t="shared" si="17"/>
        <v>44.5</v>
      </c>
      <c r="I137">
        <f t="shared" si="18"/>
        <v>20.37</v>
      </c>
      <c r="J137">
        <v>58.805</v>
      </c>
      <c r="K137">
        <v>180.36</v>
      </c>
      <c r="L137">
        <v>82.14</v>
      </c>
      <c r="M137">
        <f t="shared" si="19"/>
        <v>55.075000000000003</v>
      </c>
      <c r="N137">
        <v>180.36</v>
      </c>
      <c r="O137">
        <f t="shared" si="20"/>
        <v>8.8541973490427104</v>
      </c>
    </row>
    <row r="138" spans="4:15">
      <c r="D138" s="1" t="s">
        <v>149</v>
      </c>
      <c r="E138">
        <f t="shared" si="14"/>
        <v>78.650999999999996</v>
      </c>
      <c r="F138">
        <f t="shared" si="15"/>
        <v>55.790999999999997</v>
      </c>
      <c r="G138">
        <f t="shared" si="16"/>
        <v>24.13</v>
      </c>
      <c r="H138">
        <f t="shared" si="17"/>
        <v>44.5</v>
      </c>
      <c r="I138">
        <f t="shared" si="18"/>
        <v>20.37</v>
      </c>
      <c r="J138">
        <v>59.213000000000001</v>
      </c>
      <c r="K138">
        <v>181.24</v>
      </c>
      <c r="L138">
        <v>84.36</v>
      </c>
      <c r="M138">
        <f t="shared" si="19"/>
        <v>55.483000000000004</v>
      </c>
      <c r="N138">
        <v>181.24</v>
      </c>
      <c r="O138">
        <f t="shared" si="20"/>
        <v>8.8973981345115369</v>
      </c>
    </row>
    <row r="139" spans="4:15">
      <c r="D139" s="1" t="s">
        <v>150</v>
      </c>
      <c r="E139">
        <f t="shared" si="14"/>
        <v>79.079000000000008</v>
      </c>
      <c r="F139">
        <f t="shared" si="15"/>
        <v>56.219000000000008</v>
      </c>
      <c r="G139">
        <f t="shared" si="16"/>
        <v>24.13</v>
      </c>
      <c r="H139">
        <f t="shared" si="17"/>
        <v>44.5</v>
      </c>
      <c r="I139">
        <f t="shared" si="18"/>
        <v>20.37</v>
      </c>
      <c r="J139">
        <v>59.621000000000002</v>
      </c>
      <c r="K139">
        <v>186.98</v>
      </c>
      <c r="L139">
        <v>74.709999999999994</v>
      </c>
      <c r="M139">
        <f t="shared" si="19"/>
        <v>55.891000000000005</v>
      </c>
      <c r="N139">
        <v>186.98</v>
      </c>
      <c r="O139">
        <f t="shared" si="20"/>
        <v>9.179185076092292</v>
      </c>
    </row>
    <row r="140" spans="4:15">
      <c r="D140" s="1" t="s">
        <v>151</v>
      </c>
      <c r="E140">
        <f t="shared" si="14"/>
        <v>79.498000000000005</v>
      </c>
      <c r="F140">
        <f t="shared" si="15"/>
        <v>56.638000000000005</v>
      </c>
      <c r="G140">
        <f t="shared" si="16"/>
        <v>24.1</v>
      </c>
      <c r="H140">
        <f t="shared" si="17"/>
        <v>44.5</v>
      </c>
      <c r="I140">
        <f t="shared" si="18"/>
        <v>20.399999999999999</v>
      </c>
      <c r="J140">
        <v>60.029000000000003</v>
      </c>
      <c r="K140">
        <v>176.18</v>
      </c>
      <c r="L140">
        <v>95.13</v>
      </c>
      <c r="M140">
        <f t="shared" si="19"/>
        <v>56.299000000000007</v>
      </c>
      <c r="N140">
        <v>176.18</v>
      </c>
      <c r="O140">
        <f t="shared" si="20"/>
        <v>8.636274509803922</v>
      </c>
    </row>
    <row r="141" spans="4:15">
      <c r="D141" s="1" t="s">
        <v>152</v>
      </c>
      <c r="E141">
        <f t="shared" si="14"/>
        <v>79.918999999999997</v>
      </c>
      <c r="F141">
        <f t="shared" si="15"/>
        <v>57.058999999999997</v>
      </c>
      <c r="G141">
        <f t="shared" si="16"/>
        <v>24.13</v>
      </c>
      <c r="H141">
        <f t="shared" si="17"/>
        <v>44.25</v>
      </c>
      <c r="I141">
        <f t="shared" si="18"/>
        <v>20.12</v>
      </c>
      <c r="J141">
        <v>60.436999999999998</v>
      </c>
      <c r="K141">
        <v>187.25</v>
      </c>
      <c r="L141">
        <v>80.58</v>
      </c>
      <c r="M141">
        <f t="shared" si="19"/>
        <v>56.707000000000001</v>
      </c>
      <c r="N141">
        <v>187.25</v>
      </c>
      <c r="O141">
        <f t="shared" si="20"/>
        <v>9.3066600397614305</v>
      </c>
    </row>
    <row r="142" spans="4:15">
      <c r="D142" s="1" t="s">
        <v>153</v>
      </c>
      <c r="E142">
        <f t="shared" si="14"/>
        <v>80.295000000000002</v>
      </c>
      <c r="F142">
        <f t="shared" si="15"/>
        <v>57.435000000000002</v>
      </c>
      <c r="G142">
        <f t="shared" si="16"/>
        <v>24.13</v>
      </c>
      <c r="H142">
        <f t="shared" si="17"/>
        <v>44.25</v>
      </c>
      <c r="I142">
        <f t="shared" si="18"/>
        <v>20.12</v>
      </c>
      <c r="J142">
        <v>60.844000000000001</v>
      </c>
      <c r="K142">
        <v>186.3</v>
      </c>
      <c r="L142">
        <v>88.26</v>
      </c>
      <c r="M142">
        <f t="shared" si="19"/>
        <v>57.114000000000004</v>
      </c>
      <c r="N142">
        <v>186.3</v>
      </c>
      <c r="O142">
        <f t="shared" si="20"/>
        <v>9.2594433399602387</v>
      </c>
    </row>
    <row r="143" spans="4:15">
      <c r="D143" s="1" t="s">
        <v>154</v>
      </c>
      <c r="E143">
        <f t="shared" si="14"/>
        <v>80.734000000000009</v>
      </c>
      <c r="F143">
        <f t="shared" si="15"/>
        <v>57.874000000000009</v>
      </c>
      <c r="G143">
        <f t="shared" si="16"/>
        <v>24.13</v>
      </c>
      <c r="H143">
        <f t="shared" si="17"/>
        <v>44.5</v>
      </c>
      <c r="I143">
        <f t="shared" si="18"/>
        <v>20.37</v>
      </c>
      <c r="J143">
        <v>61.252000000000002</v>
      </c>
      <c r="K143">
        <v>192.62</v>
      </c>
      <c r="L143">
        <v>76.52</v>
      </c>
      <c r="M143">
        <f t="shared" si="19"/>
        <v>57.522000000000006</v>
      </c>
      <c r="N143">
        <v>192.62</v>
      </c>
      <c r="O143">
        <f t="shared" si="20"/>
        <v>9.4560628375061366</v>
      </c>
    </row>
    <row r="144" spans="4:15">
      <c r="D144" s="1" t="s">
        <v>155</v>
      </c>
      <c r="E144">
        <f t="shared" si="14"/>
        <v>81.152000000000001</v>
      </c>
      <c r="F144">
        <f t="shared" si="15"/>
        <v>58.292000000000002</v>
      </c>
      <c r="G144">
        <f t="shared" si="16"/>
        <v>24.16</v>
      </c>
      <c r="H144">
        <f t="shared" si="17"/>
        <v>44.5</v>
      </c>
      <c r="I144">
        <f t="shared" si="18"/>
        <v>20.34</v>
      </c>
      <c r="J144">
        <v>61.66</v>
      </c>
      <c r="K144">
        <v>191</v>
      </c>
      <c r="L144">
        <v>82.17</v>
      </c>
      <c r="M144">
        <f t="shared" si="19"/>
        <v>57.93</v>
      </c>
      <c r="N144">
        <v>191</v>
      </c>
      <c r="O144">
        <f t="shared" si="20"/>
        <v>9.3903638151425763</v>
      </c>
    </row>
    <row r="145" spans="4:15">
      <c r="D145" s="1" t="s">
        <v>156</v>
      </c>
      <c r="E145">
        <f t="shared" si="14"/>
        <v>81.557000000000002</v>
      </c>
      <c r="F145">
        <f t="shared" si="15"/>
        <v>58.697000000000003</v>
      </c>
      <c r="G145">
        <f t="shared" si="16"/>
        <v>24.13</v>
      </c>
      <c r="H145">
        <f t="shared" si="17"/>
        <v>44.5</v>
      </c>
      <c r="I145">
        <f t="shared" si="18"/>
        <v>20.37</v>
      </c>
      <c r="J145">
        <v>62.067999999999998</v>
      </c>
      <c r="K145">
        <v>194.03</v>
      </c>
      <c r="L145">
        <v>87.02</v>
      </c>
      <c r="M145">
        <f t="shared" si="19"/>
        <v>58.338000000000001</v>
      </c>
      <c r="N145">
        <v>194.03</v>
      </c>
      <c r="O145">
        <f t="shared" si="20"/>
        <v>9.5252822778595974</v>
      </c>
    </row>
    <row r="146" spans="4:15">
      <c r="D146" s="1" t="s">
        <v>157</v>
      </c>
      <c r="E146">
        <f t="shared" si="14"/>
        <v>81.962999999999994</v>
      </c>
      <c r="F146">
        <f t="shared" si="15"/>
        <v>59.102999999999994</v>
      </c>
      <c r="G146">
        <f t="shared" si="16"/>
        <v>24.13</v>
      </c>
      <c r="H146">
        <f t="shared" si="17"/>
        <v>44.5</v>
      </c>
      <c r="I146">
        <f t="shared" si="18"/>
        <v>20.37</v>
      </c>
      <c r="J146">
        <v>62.475999999999999</v>
      </c>
      <c r="K146">
        <v>194.36</v>
      </c>
      <c r="L146">
        <v>90.5</v>
      </c>
      <c r="M146">
        <f t="shared" si="19"/>
        <v>58.746000000000002</v>
      </c>
      <c r="N146">
        <v>194.36</v>
      </c>
      <c r="O146">
        <f t="shared" si="20"/>
        <v>9.5414825724104073</v>
      </c>
    </row>
    <row r="147" spans="4:15">
      <c r="D147" s="1" t="s">
        <v>158</v>
      </c>
      <c r="E147">
        <f t="shared" si="14"/>
        <v>82.369</v>
      </c>
      <c r="F147">
        <f t="shared" si="15"/>
        <v>59.509</v>
      </c>
      <c r="G147">
        <f t="shared" si="16"/>
        <v>24.13</v>
      </c>
      <c r="H147">
        <f t="shared" si="17"/>
        <v>44.5</v>
      </c>
      <c r="I147">
        <f t="shared" si="18"/>
        <v>20.37</v>
      </c>
      <c r="J147">
        <v>62.884</v>
      </c>
      <c r="K147">
        <v>192.25</v>
      </c>
      <c r="L147">
        <v>88.55</v>
      </c>
      <c r="M147">
        <f t="shared" si="19"/>
        <v>59.154000000000003</v>
      </c>
      <c r="N147">
        <v>192.25</v>
      </c>
      <c r="O147">
        <f t="shared" si="20"/>
        <v>9.4378988708885618</v>
      </c>
    </row>
    <row r="148" spans="4:15">
      <c r="D148" s="1" t="s">
        <v>159</v>
      </c>
      <c r="E148">
        <f t="shared" si="14"/>
        <v>82.540999999999997</v>
      </c>
      <c r="F148">
        <f t="shared" si="15"/>
        <v>59.680999999999997</v>
      </c>
      <c r="G148" t="e">
        <f t="shared" si="16"/>
        <v>#VALUE!</v>
      </c>
      <c r="H148" t="e">
        <f t="shared" si="17"/>
        <v>#VALUE!</v>
      </c>
      <c r="I148" t="e">
        <f t="shared" si="18"/>
        <v>#VALUE!</v>
      </c>
      <c r="J148">
        <v>63.292000000000002</v>
      </c>
      <c r="K148">
        <v>187.81</v>
      </c>
      <c r="L148">
        <v>89.87</v>
      </c>
      <c r="M148">
        <f t="shared" si="19"/>
        <v>59.562000000000005</v>
      </c>
      <c r="N148">
        <v>187.81</v>
      </c>
      <c r="O148" t="e">
        <f t="shared" si="20"/>
        <v>#VALUE!</v>
      </c>
    </row>
    <row r="149" spans="4:15">
      <c r="J149">
        <v>63.7</v>
      </c>
      <c r="K149">
        <v>188.47</v>
      </c>
      <c r="L149">
        <v>81.88</v>
      </c>
      <c r="M149">
        <f t="shared" si="19"/>
        <v>59.970000000000006</v>
      </c>
      <c r="N149">
        <v>188.47</v>
      </c>
      <c r="O149" t="e">
        <f t="shared" si="20"/>
        <v>#DIV/0!</v>
      </c>
    </row>
    <row r="150" spans="4:15">
      <c r="J150">
        <v>64.108000000000004</v>
      </c>
      <c r="K150">
        <v>180.86</v>
      </c>
      <c r="L150">
        <v>92.51</v>
      </c>
      <c r="M150">
        <f t="shared" si="19"/>
        <v>60.378000000000007</v>
      </c>
      <c r="N150">
        <v>180.86</v>
      </c>
      <c r="O150" t="e">
        <f t="shared" si="20"/>
        <v>#DIV/0!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Herbst, Alan E</dc:creator>
  <cp:keywords/>
  <dc:description/>
  <cp:lastModifiedBy>Bailey, Luke T</cp:lastModifiedBy>
  <cp:revision/>
  <dcterms:created xsi:type="dcterms:W3CDTF">2026-04-20T22:02:07Z</dcterms:created>
  <dcterms:modified xsi:type="dcterms:W3CDTF">2026-04-21T04:44:31Z</dcterms:modified>
  <cp:category/>
  <cp:contentStatus/>
</cp:coreProperties>
</file>